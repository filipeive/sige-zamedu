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640"/>
  </bookViews>
  <sheets>
    <sheet name="Aprovet. Pedag. I Trim -  2026" sheetId="2" r:id="rId1"/>
  </sheets>
  <definedNames>
    <definedName name="_xlnm.Print_Area" localSheetId="0">'Aprovet. Pedag. I Trim -  2026'!$A$1:$AA$65</definedName>
  </definedNames>
  <calcPr calcId="144525"/>
</workbook>
</file>

<file path=xl/calcChain.xml><?xml version="1.0" encoding="utf-8"?>
<calcChain xmlns="http://schemas.openxmlformats.org/spreadsheetml/2006/main">
  <c r="W47" i="2" l="1"/>
  <c r="W48" i="2"/>
  <c r="W49" i="2"/>
  <c r="V48" i="2"/>
  <c r="V49" i="2"/>
  <c r="V47" i="2"/>
  <c r="I47" i="2"/>
  <c r="J47" i="2"/>
  <c r="K47" i="2"/>
  <c r="L47" i="2"/>
  <c r="M47" i="2"/>
  <c r="N47" i="2"/>
  <c r="O47" i="2"/>
  <c r="P47" i="2"/>
  <c r="Q47" i="2"/>
  <c r="I48" i="2"/>
  <c r="J48" i="2"/>
  <c r="K48" i="2"/>
  <c r="L48" i="2"/>
  <c r="M48" i="2"/>
  <c r="N48" i="2"/>
  <c r="O48" i="2"/>
  <c r="P48" i="2"/>
  <c r="Q48" i="2"/>
  <c r="I49" i="2"/>
  <c r="J49" i="2"/>
  <c r="K49" i="2"/>
  <c r="L49" i="2"/>
  <c r="M49" i="2"/>
  <c r="N49" i="2"/>
  <c r="O49" i="2"/>
  <c r="P49" i="2"/>
  <c r="Q49" i="2"/>
  <c r="H49" i="2"/>
  <c r="H48" i="2"/>
  <c r="H47" i="2"/>
  <c r="C47" i="2"/>
  <c r="D47" i="2"/>
  <c r="E47" i="2"/>
  <c r="C48" i="2"/>
  <c r="D48" i="2"/>
  <c r="E48" i="2"/>
  <c r="C49" i="2"/>
  <c r="D49" i="2"/>
  <c r="E49" i="2"/>
  <c r="B48" i="2"/>
  <c r="B49" i="2"/>
  <c r="B47" i="2"/>
  <c r="W43" i="2"/>
  <c r="W44" i="2"/>
  <c r="W45" i="2"/>
  <c r="V45" i="2"/>
  <c r="V44" i="2"/>
  <c r="V43" i="2"/>
  <c r="I43" i="2"/>
  <c r="J43" i="2"/>
  <c r="K43" i="2"/>
  <c r="L43" i="2"/>
  <c r="M43" i="2"/>
  <c r="N43" i="2"/>
  <c r="O43" i="2"/>
  <c r="P43" i="2"/>
  <c r="Q43" i="2"/>
  <c r="I44" i="2"/>
  <c r="J44" i="2"/>
  <c r="K44" i="2"/>
  <c r="L44" i="2"/>
  <c r="M44" i="2"/>
  <c r="N44" i="2"/>
  <c r="O44" i="2"/>
  <c r="P44" i="2"/>
  <c r="Q44" i="2"/>
  <c r="I45" i="2"/>
  <c r="J45" i="2"/>
  <c r="K45" i="2"/>
  <c r="L45" i="2"/>
  <c r="M45" i="2"/>
  <c r="N45" i="2"/>
  <c r="O45" i="2"/>
  <c r="P45" i="2"/>
  <c r="Q45" i="2"/>
  <c r="H45" i="2"/>
  <c r="H44" i="2"/>
  <c r="H43" i="2"/>
  <c r="C45" i="2"/>
  <c r="D45" i="2"/>
  <c r="E45" i="2"/>
  <c r="C44" i="2"/>
  <c r="D44" i="2"/>
  <c r="E44" i="2"/>
  <c r="C43" i="2"/>
  <c r="D43" i="2"/>
  <c r="E43" i="2"/>
  <c r="B45" i="2"/>
  <c r="B44" i="2"/>
  <c r="B43" i="2"/>
  <c r="W26" i="2"/>
  <c r="V26" i="2"/>
  <c r="I26" i="2"/>
  <c r="J26" i="2"/>
  <c r="K26" i="2"/>
  <c r="L26" i="2"/>
  <c r="M26" i="2"/>
  <c r="N26" i="2"/>
  <c r="O26" i="2"/>
  <c r="P26" i="2"/>
  <c r="Q26" i="2"/>
  <c r="H26" i="2"/>
  <c r="C26" i="2"/>
  <c r="D26" i="2"/>
  <c r="E26" i="2"/>
  <c r="B26" i="2"/>
  <c r="F23" i="2"/>
  <c r="Z23" i="2" s="1"/>
  <c r="G23" i="2"/>
  <c r="AA23" i="2" s="1"/>
  <c r="F33" i="2"/>
  <c r="Z33" i="2" s="1"/>
  <c r="G33" i="2"/>
  <c r="AA33" i="2" s="1"/>
  <c r="F34" i="2"/>
  <c r="Z34" i="2" s="1"/>
  <c r="C36" i="2"/>
  <c r="D36" i="2"/>
  <c r="E36" i="2"/>
  <c r="H36" i="2"/>
  <c r="I36" i="2"/>
  <c r="J36" i="2"/>
  <c r="K36" i="2"/>
  <c r="L36" i="2"/>
  <c r="M36" i="2"/>
  <c r="N36" i="2"/>
  <c r="O36" i="2"/>
  <c r="P36" i="2"/>
  <c r="Q36" i="2"/>
  <c r="B36" i="2"/>
  <c r="W22" i="2"/>
  <c r="V22" i="2"/>
  <c r="I22" i="2"/>
  <c r="J22" i="2"/>
  <c r="K22" i="2"/>
  <c r="L22" i="2"/>
  <c r="M22" i="2"/>
  <c r="N22" i="2"/>
  <c r="O22" i="2"/>
  <c r="P22" i="2"/>
  <c r="Q22" i="2"/>
  <c r="H22" i="2"/>
  <c r="C22" i="2"/>
  <c r="D22" i="2"/>
  <c r="E22" i="2"/>
  <c r="B22" i="2"/>
  <c r="O50" i="2" l="1"/>
  <c r="K50" i="2"/>
  <c r="J50" i="2"/>
  <c r="H50" i="2"/>
  <c r="N50" i="2"/>
  <c r="P50" i="2"/>
  <c r="M50" i="2"/>
  <c r="I50" i="2"/>
  <c r="Q50" i="2"/>
  <c r="L50" i="2"/>
  <c r="E50" i="2"/>
  <c r="D50" i="2"/>
  <c r="C50" i="2"/>
  <c r="B50" i="2"/>
  <c r="AA22" i="2"/>
  <c r="Z22" i="2"/>
  <c r="S33" i="2"/>
  <c r="U33" i="2" s="1"/>
  <c r="Y33" i="2" s="1"/>
  <c r="R33" i="2"/>
  <c r="T33" i="2" s="1"/>
  <c r="X33" i="2" s="1"/>
  <c r="G47" i="2"/>
  <c r="AA47" i="2" s="1"/>
  <c r="F47" i="2"/>
  <c r="Z47" i="2" s="1"/>
  <c r="S23" i="2"/>
  <c r="R23" i="2"/>
  <c r="R47" i="2" s="1"/>
  <c r="U23" i="2" l="1"/>
  <c r="S47" i="2"/>
  <c r="T23" i="2"/>
  <c r="T47" i="2" s="1"/>
  <c r="Y23" i="2" l="1"/>
  <c r="U47" i="2"/>
  <c r="Y47" i="2" s="1"/>
  <c r="X23" i="2"/>
  <c r="X47" i="2"/>
  <c r="F30" i="2" l="1"/>
  <c r="G30" i="2"/>
  <c r="S30" i="2" l="1"/>
  <c r="U30" i="2" s="1"/>
  <c r="Y30" i="2" s="1"/>
  <c r="AA30" i="2"/>
  <c r="R30" i="2"/>
  <c r="T30" i="2" s="1"/>
  <c r="X30" i="2" s="1"/>
  <c r="Z30" i="2"/>
  <c r="Q46" i="2"/>
  <c r="Q51" i="2" s="1"/>
  <c r="K46" i="2"/>
  <c r="K51" i="2" s="1"/>
  <c r="H46" i="2"/>
  <c r="H41" i="2"/>
  <c r="E41" i="2"/>
  <c r="D41" i="2"/>
  <c r="C41" i="2"/>
  <c r="B41" i="2"/>
  <c r="G40" i="2"/>
  <c r="F40" i="2"/>
  <c r="G39" i="2"/>
  <c r="F39" i="2"/>
  <c r="W36" i="2"/>
  <c r="V36" i="2"/>
  <c r="G35" i="2"/>
  <c r="AA35" i="2" s="1"/>
  <c r="F35" i="2"/>
  <c r="G34" i="2"/>
  <c r="R34" i="2"/>
  <c r="T34" i="2" s="1"/>
  <c r="X34" i="2" s="1"/>
  <c r="W32" i="2"/>
  <c r="V32" i="2"/>
  <c r="Q32" i="2"/>
  <c r="P32" i="2"/>
  <c r="O32" i="2"/>
  <c r="N32" i="2"/>
  <c r="M32" i="2"/>
  <c r="L32" i="2"/>
  <c r="K32" i="2"/>
  <c r="J32" i="2"/>
  <c r="I32" i="2"/>
  <c r="H32" i="2"/>
  <c r="E32" i="2"/>
  <c r="D32" i="2"/>
  <c r="C32" i="2"/>
  <c r="B32" i="2"/>
  <c r="G31" i="2"/>
  <c r="AA31" i="2" s="1"/>
  <c r="F31" i="2"/>
  <c r="Z31" i="2" s="1"/>
  <c r="G29" i="2"/>
  <c r="AA29" i="2" s="1"/>
  <c r="F29" i="2"/>
  <c r="R29" i="2" s="1"/>
  <c r="G25" i="2"/>
  <c r="AA25" i="2" s="1"/>
  <c r="F25" i="2"/>
  <c r="G24" i="2"/>
  <c r="AA24" i="2" s="1"/>
  <c r="F24" i="2"/>
  <c r="R24" i="2" s="1"/>
  <c r="O27" i="2"/>
  <c r="G21" i="2"/>
  <c r="F21" i="2"/>
  <c r="G20" i="2"/>
  <c r="AA20" i="2" s="1"/>
  <c r="F20" i="2"/>
  <c r="G19" i="2"/>
  <c r="F19" i="2"/>
  <c r="F43" i="2" s="1"/>
  <c r="H51" i="2" l="1"/>
  <c r="Z35" i="2"/>
  <c r="F36" i="2"/>
  <c r="AA34" i="2"/>
  <c r="S34" i="2"/>
  <c r="U34" i="2" s="1"/>
  <c r="Y34" i="2" s="1"/>
  <c r="G36" i="2"/>
  <c r="T24" i="2"/>
  <c r="T48" i="2" s="1"/>
  <c r="R48" i="2"/>
  <c r="AA19" i="2"/>
  <c r="G22" i="2"/>
  <c r="R20" i="2"/>
  <c r="T20" i="2" s="1"/>
  <c r="X20" i="2" s="1"/>
  <c r="Z20" i="2"/>
  <c r="S21" i="2"/>
  <c r="U21" i="2" s="1"/>
  <c r="Y21" i="2" s="1"/>
  <c r="AA21" i="2"/>
  <c r="Z21" i="2"/>
  <c r="F22" i="2"/>
  <c r="P46" i="2"/>
  <c r="P51" i="2" s="1"/>
  <c r="O46" i="2"/>
  <c r="O51" i="2" s="1"/>
  <c r="N46" i="2"/>
  <c r="N51" i="2" s="1"/>
  <c r="M46" i="2"/>
  <c r="M51" i="2" s="1"/>
  <c r="L46" i="2"/>
  <c r="L51" i="2" s="1"/>
  <c r="J46" i="2"/>
  <c r="J51" i="2" s="1"/>
  <c r="I46" i="2"/>
  <c r="I51" i="2" s="1"/>
  <c r="E46" i="2"/>
  <c r="E51" i="2" s="1"/>
  <c r="D46" i="2"/>
  <c r="D51" i="2" s="1"/>
  <c r="C46" i="2"/>
  <c r="C51" i="2" s="1"/>
  <c r="B46" i="2"/>
  <c r="B51" i="2" s="1"/>
  <c r="V46" i="2"/>
  <c r="W46" i="2"/>
  <c r="Z25" i="2"/>
  <c r="R49" i="2"/>
  <c r="H37" i="2"/>
  <c r="R39" i="2"/>
  <c r="T39" i="2" s="1"/>
  <c r="AA40" i="2"/>
  <c r="AA39" i="2"/>
  <c r="Z40" i="2"/>
  <c r="F48" i="2"/>
  <c r="Z48" i="2" s="1"/>
  <c r="F41" i="2"/>
  <c r="Z41" i="2" s="1"/>
  <c r="R35" i="2"/>
  <c r="T35" i="2" s="1"/>
  <c r="N37" i="2"/>
  <c r="M37" i="2"/>
  <c r="Z36" i="2"/>
  <c r="G41" i="2"/>
  <c r="S41" i="2" s="1"/>
  <c r="U41" i="2" s="1"/>
  <c r="Y41" i="2" s="1"/>
  <c r="AA36" i="2"/>
  <c r="O37" i="2"/>
  <c r="D37" i="2"/>
  <c r="E37" i="2"/>
  <c r="S39" i="2"/>
  <c r="R40" i="2"/>
  <c r="T40" i="2" s="1"/>
  <c r="Z24" i="2"/>
  <c r="I37" i="2"/>
  <c r="G44" i="2"/>
  <c r="G26" i="2"/>
  <c r="AA26" i="2" s="1"/>
  <c r="P27" i="2"/>
  <c r="N27" i="2"/>
  <c r="F26" i="2"/>
  <c r="Z26" i="2" s="1"/>
  <c r="G45" i="2"/>
  <c r="AA45" i="2" s="1"/>
  <c r="F45" i="2"/>
  <c r="I27" i="2"/>
  <c r="F44" i="2"/>
  <c r="R44" i="2" s="1"/>
  <c r="T44" i="2" s="1"/>
  <c r="X44" i="2" s="1"/>
  <c r="H27" i="2"/>
  <c r="V37" i="2"/>
  <c r="L37" i="2"/>
  <c r="P37" i="2"/>
  <c r="Q37" i="2"/>
  <c r="J37" i="2"/>
  <c r="K37" i="2"/>
  <c r="C37" i="2"/>
  <c r="G32" i="2"/>
  <c r="S32" i="2" s="1"/>
  <c r="U32" i="2" s="1"/>
  <c r="Y32" i="2" s="1"/>
  <c r="S29" i="2"/>
  <c r="U29" i="2" s="1"/>
  <c r="R31" i="2"/>
  <c r="F32" i="2"/>
  <c r="R32" i="2" s="1"/>
  <c r="T32" i="2" s="1"/>
  <c r="X32" i="2" s="1"/>
  <c r="W27" i="2"/>
  <c r="V27" i="2"/>
  <c r="M27" i="2"/>
  <c r="Q27" i="2"/>
  <c r="L27" i="2"/>
  <c r="S24" i="2"/>
  <c r="S48" i="2" s="1"/>
  <c r="G48" i="2"/>
  <c r="AA48" i="2" s="1"/>
  <c r="R21" i="2"/>
  <c r="T21" i="2" s="1"/>
  <c r="X21" i="2" s="1"/>
  <c r="G43" i="2"/>
  <c r="AA43" i="2" s="1"/>
  <c r="S20" i="2"/>
  <c r="U20" i="2" s="1"/>
  <c r="Y20" i="2" s="1"/>
  <c r="Z43" i="2"/>
  <c r="W37" i="2"/>
  <c r="S25" i="2"/>
  <c r="S49" i="2" s="1"/>
  <c r="S31" i="2"/>
  <c r="S35" i="2"/>
  <c r="S40" i="2"/>
  <c r="J27" i="2"/>
  <c r="T29" i="2"/>
  <c r="V50" i="2"/>
  <c r="G49" i="2"/>
  <c r="AA49" i="2" s="1"/>
  <c r="B27" i="2"/>
  <c r="K27" i="2"/>
  <c r="W50" i="2"/>
  <c r="F49" i="2"/>
  <c r="Z49" i="2" s="1"/>
  <c r="C27" i="2"/>
  <c r="D27" i="2"/>
  <c r="S19" i="2"/>
  <c r="E27" i="2"/>
  <c r="Z19" i="2"/>
  <c r="B37" i="2"/>
  <c r="R19" i="2"/>
  <c r="Z29" i="2"/>
  <c r="Z39" i="2"/>
  <c r="X24" i="2" l="1"/>
  <c r="R22" i="2"/>
  <c r="S22" i="2"/>
  <c r="W51" i="2"/>
  <c r="V51" i="2"/>
  <c r="AA44" i="2"/>
  <c r="G46" i="2"/>
  <c r="AA46" i="2" s="1"/>
  <c r="Z45" i="2"/>
  <c r="F46" i="2"/>
  <c r="Z46" i="2" s="1"/>
  <c r="F50" i="2"/>
  <c r="R50" i="2" s="1"/>
  <c r="T50" i="2" s="1"/>
  <c r="X50" i="2" s="1"/>
  <c r="S36" i="2"/>
  <c r="U36" i="2" s="1"/>
  <c r="Y36" i="2" s="1"/>
  <c r="S45" i="2"/>
  <c r="U45" i="2" s="1"/>
  <c r="Y45" i="2" s="1"/>
  <c r="S44" i="2"/>
  <c r="R26" i="2"/>
  <c r="T26" i="2" s="1"/>
  <c r="X26" i="2" s="1"/>
  <c r="R41" i="2"/>
  <c r="T41" i="2" s="1"/>
  <c r="X41" i="2" s="1"/>
  <c r="S26" i="2"/>
  <c r="U26" i="2" s="1"/>
  <c r="Y26" i="2" s="1"/>
  <c r="G50" i="2"/>
  <c r="AA50" i="2" s="1"/>
  <c r="U39" i="2"/>
  <c r="R36" i="2"/>
  <c r="T36" i="2" s="1"/>
  <c r="X36" i="2" s="1"/>
  <c r="X48" i="2"/>
  <c r="AA41" i="2"/>
  <c r="F37" i="2"/>
  <c r="R37" i="2" s="1"/>
  <c r="T37" i="2" s="1"/>
  <c r="X37" i="2" s="1"/>
  <c r="G37" i="2"/>
  <c r="S37" i="2" s="1"/>
  <c r="U37" i="2" s="1"/>
  <c r="Y37" i="2" s="1"/>
  <c r="AA32" i="2"/>
  <c r="R45" i="2"/>
  <c r="T31" i="2"/>
  <c r="X31" i="2" s="1"/>
  <c r="Z32" i="2"/>
  <c r="Z44" i="2"/>
  <c r="T25" i="2"/>
  <c r="T49" i="2" s="1"/>
  <c r="U24" i="2"/>
  <c r="U48" i="2" s="1"/>
  <c r="G27" i="2"/>
  <c r="S27" i="2" s="1"/>
  <c r="T19" i="2"/>
  <c r="T22" i="2" s="1"/>
  <c r="R43" i="2"/>
  <c r="X39" i="2"/>
  <c r="X40" i="2"/>
  <c r="F27" i="2"/>
  <c r="S43" i="2"/>
  <c r="U19" i="2"/>
  <c r="U22" i="2" s="1"/>
  <c r="X29" i="2"/>
  <c r="Y29" i="2"/>
  <c r="U40" i="2"/>
  <c r="X35" i="2"/>
  <c r="U35" i="2"/>
  <c r="U31" i="2"/>
  <c r="Y31" i="2" s="1"/>
  <c r="U25" i="2"/>
  <c r="U49" i="2" s="1"/>
  <c r="Z50" i="2" l="1"/>
  <c r="G51" i="2"/>
  <c r="AA51" i="2" s="1"/>
  <c r="F51" i="2"/>
  <c r="Z51" i="2" s="1"/>
  <c r="U44" i="2"/>
  <c r="S46" i="2"/>
  <c r="T45" i="2"/>
  <c r="R46" i="2"/>
  <c r="AA37" i="2"/>
  <c r="Z37" i="2"/>
  <c r="S50" i="2"/>
  <c r="U50" i="2" s="1"/>
  <c r="Y50" i="2" s="1"/>
  <c r="Y39" i="2"/>
  <c r="Y24" i="2"/>
  <c r="X49" i="2"/>
  <c r="X25" i="2"/>
  <c r="AA27" i="2"/>
  <c r="U43" i="2"/>
  <c r="Y43" i="2" s="1"/>
  <c r="Y19" i="2"/>
  <c r="T43" i="2"/>
  <c r="X43" i="2" s="1"/>
  <c r="X19" i="2"/>
  <c r="Y35" i="2"/>
  <c r="Y40" i="2"/>
  <c r="Y25" i="2"/>
  <c r="R27" i="2"/>
  <c r="Z27" i="2"/>
  <c r="S51" i="2" l="1"/>
  <c r="U51" i="2" s="1"/>
  <c r="Y51" i="2" s="1"/>
  <c r="Y44" i="2"/>
  <c r="U46" i="2"/>
  <c r="Y46" i="2" s="1"/>
  <c r="X45" i="2"/>
  <c r="T46" i="2"/>
  <c r="X46" i="2" s="1"/>
  <c r="R51" i="2"/>
  <c r="T51" i="2" s="1"/>
  <c r="X51" i="2" s="1"/>
  <c r="Y48" i="2"/>
  <c r="Y22" i="2"/>
  <c r="U27" i="2"/>
  <c r="Y27" i="2" s="1"/>
  <c r="Y49" i="2"/>
  <c r="X22" i="2"/>
  <c r="T27" i="2"/>
  <c r="X27" i="2" s="1"/>
</calcChain>
</file>

<file path=xl/sharedStrings.xml><?xml version="1.0" encoding="utf-8"?>
<sst xmlns="http://schemas.openxmlformats.org/spreadsheetml/2006/main" count="80" uniqueCount="40">
  <si>
    <t>PRENCHER APENAS NOS ESPAÇOS EM BRANCO. AS CÉLULAS QUE APRESENTAM A COR CIZENTA TÊM FÓRMULAS PARA FACILITAR CÁLCULOS AUTOMÁTICOS.</t>
  </si>
  <si>
    <t>REPÚBLICA DE MOÇAMBIQUE</t>
  </si>
  <si>
    <t>PROVÍNCIA DA ZAMBÉZIA</t>
  </si>
  <si>
    <t>CLASSE</t>
  </si>
  <si>
    <t>N/ ENTRADAS</t>
  </si>
  <si>
    <t>TOTAL</t>
  </si>
  <si>
    <t>DESISTENTES</t>
  </si>
  <si>
    <t>TRANSF</t>
  </si>
  <si>
    <t>PPF/PDF</t>
  </si>
  <si>
    <t>ANULOU MATRÍCULA</t>
  </si>
  <si>
    <t>FALECIDO</t>
  </si>
  <si>
    <t>FIM DO ANO</t>
  </si>
  <si>
    <t>AVALIADOS</t>
  </si>
  <si>
    <t>TRANS/ APROVADOS</t>
  </si>
  <si>
    <t>% TRANS/ APROVADOS</t>
  </si>
  <si>
    <t>%DESISTENTE</t>
  </si>
  <si>
    <t>M</t>
  </si>
  <si>
    <t>HM</t>
  </si>
  <si>
    <t>8ª</t>
  </si>
  <si>
    <t>9ª</t>
  </si>
  <si>
    <t>10ª</t>
  </si>
  <si>
    <t>1º Ciclo</t>
  </si>
  <si>
    <t>11ª</t>
  </si>
  <si>
    <t>12ª</t>
  </si>
  <si>
    <t>2º Ciclo</t>
  </si>
  <si>
    <t>TOTAL DO C.DIURNO</t>
  </si>
  <si>
    <t>CURSO NOCTURNO</t>
  </si>
  <si>
    <t>TOTAL DO C.NOCTURNO</t>
  </si>
  <si>
    <t>GERAL DA ESCOLA</t>
  </si>
  <si>
    <t>PESD 1</t>
  </si>
  <si>
    <t>PESD2</t>
  </si>
  <si>
    <t>PESD(1+2)</t>
  </si>
  <si>
    <t>CURSO DIURNO + NOCTURNO+PESD</t>
  </si>
  <si>
    <t>PESD</t>
  </si>
  <si>
    <t>7ª</t>
  </si>
  <si>
    <t>SERVICO DISTRITAL EDUCACAO JUVENTUDE E TECNOLOGIA DE QUELIMANE</t>
  </si>
  <si>
    <t>MAPA DE APROVEITAMENTO PEDAGÓGICO  DO ENSINO SECUNDÁRIO DO I TRIMETRE  DO ANO LECTIVO DE 2026</t>
  </si>
  <si>
    <t xml:space="preserve">Quelimane, aos </t>
  </si>
  <si>
    <t>O DAE</t>
  </si>
  <si>
    <t>ESCOLA SECUNDÁRIA DE MARRACUA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</si>
</sst>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;[Red]0.0"/>
  </numFmts>
  <fonts count="14" x14ac:knownFonts="1">
    <font>
      <sz val="11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20"/>
      <name val="Times New Roman"/>
      <family val="1"/>
    </font>
    <font>
      <b/>
      <sz val="16"/>
      <color rgb="FFFF0000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Times New Roman"/>
      <family val="1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14" xfId="0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164" fontId="7" fillId="0" borderId="15" xfId="0" applyNumberFormat="1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0" fontId="8" fillId="3" borderId="20" xfId="0" applyFont="1" applyFill="1" applyBorder="1" applyAlignment="1">
      <alignment vertical="center"/>
    </xf>
    <xf numFmtId="0" fontId="8" fillId="3" borderId="20" xfId="0" applyFont="1" applyFill="1" applyBorder="1" applyAlignment="1">
      <alignment horizontal="right" vertical="center"/>
    </xf>
    <xf numFmtId="164" fontId="8" fillId="3" borderId="20" xfId="0" applyNumberFormat="1" applyFont="1" applyFill="1" applyBorder="1" applyAlignment="1">
      <alignment vertical="center"/>
    </xf>
    <xf numFmtId="164" fontId="8" fillId="3" borderId="23" xfId="0" applyNumberFormat="1" applyFont="1" applyFill="1" applyBorder="1" applyAlignment="1">
      <alignment vertical="center"/>
    </xf>
    <xf numFmtId="164" fontId="8" fillId="3" borderId="24" xfId="0" applyNumberFormat="1" applyFont="1" applyFill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vertical="center"/>
    </xf>
    <xf numFmtId="0" fontId="8" fillId="3" borderId="31" xfId="0" applyFont="1" applyFill="1" applyBorder="1" applyAlignment="1">
      <alignment horizontal="right" vertical="center"/>
    </xf>
    <xf numFmtId="164" fontId="2" fillId="3" borderId="31" xfId="0" applyNumberFormat="1" applyFont="1" applyFill="1" applyBorder="1" applyAlignment="1">
      <alignment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vertical="center"/>
    </xf>
    <xf numFmtId="164" fontId="2" fillId="3" borderId="20" xfId="0" applyNumberFormat="1" applyFont="1" applyFill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8" fillId="3" borderId="29" xfId="0" applyFont="1" applyFill="1" applyBorder="1" applyAlignment="1">
      <alignment horizontal="right" vertical="center"/>
    </xf>
    <xf numFmtId="164" fontId="2" fillId="3" borderId="29" xfId="0" applyNumberFormat="1" applyFont="1" applyFill="1" applyBorder="1" applyAlignment="1">
      <alignment vertical="center"/>
    </xf>
    <xf numFmtId="164" fontId="2" fillId="3" borderId="30" xfId="0" applyNumberFormat="1" applyFont="1" applyFill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164" fontId="2" fillId="3" borderId="23" xfId="0" applyNumberFormat="1" applyFont="1" applyFill="1" applyBorder="1" applyAlignment="1">
      <alignment vertical="center"/>
    </xf>
    <xf numFmtId="164" fontId="2" fillId="3" borderId="24" xfId="0" applyNumberFormat="1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31" xfId="0" applyFont="1" applyFill="1" applyBorder="1" applyAlignment="1">
      <alignment horizontal="right" vertical="center"/>
    </xf>
    <xf numFmtId="164" fontId="2" fillId="3" borderId="32" xfId="0" applyNumberFormat="1" applyFont="1" applyFill="1" applyBorder="1" applyAlignment="1">
      <alignment vertical="center"/>
    </xf>
    <xf numFmtId="0" fontId="2" fillId="3" borderId="25" xfId="0" applyFont="1" applyFill="1" applyBorder="1" applyAlignment="1">
      <alignment vertical="center" wrapText="1"/>
    </xf>
    <xf numFmtId="0" fontId="2" fillId="3" borderId="26" xfId="0" applyFont="1" applyFill="1" applyBorder="1" applyAlignment="1">
      <alignment vertical="center"/>
    </xf>
    <xf numFmtId="164" fontId="2" fillId="3" borderId="26" xfId="0" applyNumberFormat="1" applyFont="1" applyFill="1" applyBorder="1" applyAlignment="1">
      <alignment vertical="center"/>
    </xf>
    <xf numFmtId="164" fontId="2" fillId="3" borderId="27" xfId="0" applyNumberFormat="1" applyFont="1" applyFill="1" applyBorder="1" applyAlignment="1">
      <alignment vertical="center"/>
    </xf>
    <xf numFmtId="164" fontId="2" fillId="3" borderId="21" xfId="0" applyNumberFormat="1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right" vertical="center"/>
    </xf>
    <xf numFmtId="164" fontId="2" fillId="3" borderId="33" xfId="0" applyNumberFormat="1" applyFont="1" applyFill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5" borderId="29" xfId="0" applyFont="1" applyFill="1" applyBorder="1" applyAlignment="1">
      <alignment vertical="center"/>
    </xf>
    <xf numFmtId="0" fontId="2" fillId="0" borderId="22" xfId="0" applyFont="1" applyBorder="1" applyAlignment="1">
      <alignment vertical="center" wrapText="1"/>
    </xf>
    <xf numFmtId="0" fontId="2" fillId="5" borderId="23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right" vertical="center"/>
    </xf>
    <xf numFmtId="0" fontId="6" fillId="3" borderId="20" xfId="0" applyFont="1" applyFill="1" applyBorder="1" applyAlignment="1">
      <alignment vertical="center"/>
    </xf>
    <xf numFmtId="0" fontId="2" fillId="3" borderId="3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164" fontId="2" fillId="3" borderId="14" xfId="0" applyNumberFormat="1" applyFont="1" applyFill="1" applyBorder="1" applyAlignment="1">
      <alignment vertical="center"/>
    </xf>
    <xf numFmtId="164" fontId="2" fillId="3" borderId="15" xfId="0" applyNumberFormat="1" applyFont="1" applyFill="1" applyBorder="1" applyAlignment="1">
      <alignment vertical="center"/>
    </xf>
    <xf numFmtId="0" fontId="2" fillId="3" borderId="34" xfId="0" applyFont="1" applyFill="1" applyBorder="1" applyAlignment="1">
      <alignment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201079</xdr:colOff>
      <xdr:row>1</xdr:row>
      <xdr:rowOff>190500</xdr:rowOff>
    </xdr:from>
    <xdr:to>
      <xdr:col>13</xdr:col>
      <xdr:colOff>399873</xdr:colOff>
      <xdr:row>5</xdr:row>
      <xdr:rowOff>160826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02079" y="180975"/>
          <a:ext cx="817919" cy="7037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309563</xdr:colOff>
      <xdr:row>1</xdr:row>
      <xdr:rowOff>154782</xdr:rowOff>
    </xdr:from>
    <xdr:to>
      <xdr:col>25</xdr:col>
      <xdr:colOff>476250</xdr:colOff>
      <xdr:row>11</xdr:row>
      <xdr:rowOff>285748</xdr:rowOff>
    </xdr:to>
    <xdr:sp macro="" textlink="">
      <xdr:nvSpPr>
        <xdr:cNvPr id="2" name="Rectângulo arredondado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13930313" y="357188"/>
          <a:ext cx="3679031" cy="2143123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>
              <a:latin typeface="Times New Roman" pitchFamily="18" charset="0"/>
              <a:cs typeface="Times New Roman" pitchFamily="18" charset="0"/>
            </a:rPr>
            <a:t>Visto</a:t>
          </a:r>
        </a:p>
        <a:p>
          <a:pPr algn="ctr"/>
          <a:r>
            <a:rPr lang="en-US" sz="1600">
              <a:latin typeface="Times New Roman" pitchFamily="18" charset="0"/>
              <a:cs typeface="Times New Roman" pitchFamily="18" charset="0"/>
            </a:rPr>
            <a:t>O Directora da Escola </a:t>
          </a:r>
        </a:p>
        <a:p>
          <a:pPr algn="ctr"/>
          <a:endParaRPr lang="en-US" sz="16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600">
              <a:latin typeface="Times New Roman" pitchFamily="18" charset="0"/>
              <a:cs typeface="Times New Roman" pitchFamily="18" charset="0"/>
            </a:rPr>
            <a:t>____________________________</a:t>
          </a:r>
        </a:p>
        <a:p>
          <a:pPr algn="ctr"/>
          <a:r>
            <a:rPr lang="en-US" sz="1600">
              <a:latin typeface="Times New Roman" pitchFamily="18" charset="0"/>
              <a:cs typeface="Times New Roman" pitchFamily="18" charset="0"/>
            </a:rPr>
            <a:t>Diocleciano Denis Minês</a:t>
          </a:r>
        </a:p>
        <a:p>
          <a:pPr algn="ctr"/>
          <a:r>
            <a:rPr lang="en-US" sz="1600">
              <a:latin typeface="Times New Roman" pitchFamily="18" charset="0"/>
              <a:cs typeface="Times New Roman" pitchFamily="18" charset="0"/>
            </a:rPr>
            <a:t>ITPN1</a:t>
          </a:r>
        </a:p>
      </xdr:txBody>
    </xdr:sp>
    <xdr:clientData/>
  </xdr:twoCellAnchor>
  <xdr:twoCellAnchor>
    <xdr:from>
      <xdr:col>12</xdr:col>
      <xdr:colOff>201079</xdr:colOff>
      <xdr:row>1</xdr:row>
      <xdr:rowOff>190500</xdr:rowOff>
    </xdr:from>
    <xdr:to>
      <xdr:col>13</xdr:col>
      <xdr:colOff>399873</xdr:colOff>
      <xdr:row>5</xdr:row>
      <xdr:rowOff>160826</xdr:rowOff>
    </xdr:to>
    <xdr:pic>
      <xdr:nvPicPr>
        <xdr:cNvPr id="4" name="Picture 1">
          <a:extLst>
            <a:ext uri="{FF2B5EF4-FFF2-40B4-BE49-F238E27FC236}">
              <a16:creationId xmlns="" xmlns:a16="http://schemas.microsoft.com/office/drawing/2014/main" id="{FE613275-158C-4501-A5BB-C5E9A05FE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45029" y="381000"/>
          <a:ext cx="808394" cy="757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Views>
    <sheetView tabSelected="1" view="pageBreakPreview" topLeftCell="A29" zoomScale="70" zoomScaleNormal="70" zoomScaleSheetLayoutView="70" zoomScalePageLayoutView="32" workbookViewId="0">
      <selection activeCell="M56" sqref="M56"/>
    </sheetView>
  </sheetViews>
  <sheetFormatPr defaultRowHeight="15" x14ac:dyDescent="0.25"/>
  <cols>
    <col min="1" max="1" width="17.5703125" style="2" customWidth="1"/>
    <col min="2" max="2" width="7.7109375" style="2" customWidth="1"/>
    <col min="3" max="3" width="10.85546875" style="2" customWidth="1"/>
    <col min="4" max="4" width="11.5703125" style="2" bestFit="1" customWidth="1"/>
    <col min="5" max="5" width="9.140625" style="2"/>
    <col min="6" max="7" width="10.85546875" style="2" customWidth="1"/>
    <col min="8" max="17" width="9.140625" style="2"/>
    <col min="18" max="18" width="10.140625" style="2" customWidth="1"/>
    <col min="19" max="19" width="10.85546875" style="2" customWidth="1"/>
    <col min="20" max="21" width="10.140625" style="2" customWidth="1"/>
    <col min="22" max="23" width="10.5703125" style="2" customWidth="1"/>
    <col min="24" max="24" width="11.7109375" style="2" customWidth="1"/>
    <col min="25" max="25" width="9.5703125" style="2" customWidth="1"/>
    <col min="26" max="26" width="11.7109375" style="2" customWidth="1"/>
    <col min="27" max="16384" width="9.140625" style="2"/>
  </cols>
  <sheetData>
    <row r="1" spans="1:27" ht="15.75" thickBot="1" x14ac:dyDescent="0.3"/>
    <row r="2" spans="1:27" ht="15.75" x14ac:dyDescent="0.25">
      <c r="A2" s="68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7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4"/>
      <c r="Z2" s="4"/>
      <c r="AA2" s="4"/>
    </row>
    <row r="3" spans="1:27" ht="15.75" x14ac:dyDescent="0.25">
      <c r="A3" s="71"/>
      <c r="B3" s="72"/>
      <c r="C3" s="72"/>
      <c r="D3" s="72"/>
      <c r="E3" s="72"/>
      <c r="F3" s="72"/>
      <c r="G3" s="72"/>
      <c r="H3" s="72"/>
      <c r="I3" s="72"/>
      <c r="J3" s="72"/>
      <c r="K3" s="7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Z3" s="4"/>
      <c r="AA3" s="4"/>
    </row>
    <row r="4" spans="1:27" ht="15.75" x14ac:dyDescent="0.25">
      <c r="A4" s="71"/>
      <c r="B4" s="72"/>
      <c r="C4" s="72"/>
      <c r="D4" s="72"/>
      <c r="E4" s="72"/>
      <c r="F4" s="72"/>
      <c r="G4" s="72"/>
      <c r="H4" s="72"/>
      <c r="I4" s="72"/>
      <c r="J4" s="72"/>
      <c r="K4" s="7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/>
      <c r="Y4" s="4"/>
      <c r="Z4" s="4"/>
      <c r="AA4" s="4"/>
    </row>
    <row r="5" spans="1:27" ht="15.75" x14ac:dyDescent="0.25">
      <c r="A5" s="71"/>
      <c r="B5" s="72"/>
      <c r="C5" s="72"/>
      <c r="D5" s="72"/>
      <c r="E5" s="72"/>
      <c r="F5" s="72"/>
      <c r="G5" s="72"/>
      <c r="H5" s="72"/>
      <c r="I5" s="72"/>
      <c r="J5" s="72"/>
      <c r="K5" s="7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  <c r="Y5" s="4"/>
      <c r="Z5" s="4"/>
      <c r="AA5" s="4"/>
    </row>
    <row r="6" spans="1:27" ht="16.5" thickBot="1" x14ac:dyDescent="0.3">
      <c r="A6" s="74"/>
      <c r="B6" s="75"/>
      <c r="C6" s="75"/>
      <c r="D6" s="75"/>
      <c r="E6" s="75"/>
      <c r="F6" s="75"/>
      <c r="G6" s="75"/>
      <c r="H6" s="75"/>
      <c r="I6" s="75"/>
      <c r="J6" s="75"/>
      <c r="K6" s="7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4"/>
      <c r="Y6" s="4"/>
      <c r="Z6" s="4"/>
      <c r="AA6" s="4"/>
    </row>
    <row r="7" spans="1:27" ht="15.75" x14ac:dyDescent="0.25">
      <c r="A7" s="77" t="s">
        <v>1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7" ht="15.75" x14ac:dyDescent="0.25">
      <c r="A8" s="77" t="s">
        <v>2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</row>
    <row r="9" spans="1:27" x14ac:dyDescent="0.25">
      <c r="A9" s="90" t="s">
        <v>35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</row>
    <row r="10" spans="1:2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5.5" x14ac:dyDescent="0.25">
      <c r="A12" s="78" t="s">
        <v>39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 spans="1:27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79" t="s">
        <v>36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</row>
    <row r="15" spans="1:27" ht="15.75" thickBot="1" x14ac:dyDescent="0.3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</row>
    <row r="16" spans="1:27" x14ac:dyDescent="0.25">
      <c r="A16" s="80" t="s">
        <v>3</v>
      </c>
      <c r="B16" s="82">
        <v>44258</v>
      </c>
      <c r="C16" s="83"/>
      <c r="D16" s="84" t="s">
        <v>4</v>
      </c>
      <c r="E16" s="85"/>
      <c r="F16" s="84" t="s">
        <v>5</v>
      </c>
      <c r="G16" s="85"/>
      <c r="H16" s="86" t="s">
        <v>6</v>
      </c>
      <c r="I16" s="83"/>
      <c r="J16" s="86" t="s">
        <v>7</v>
      </c>
      <c r="K16" s="83"/>
      <c r="L16" s="86" t="s">
        <v>8</v>
      </c>
      <c r="M16" s="83"/>
      <c r="N16" s="84" t="s">
        <v>9</v>
      </c>
      <c r="O16" s="85"/>
      <c r="P16" s="86" t="s">
        <v>10</v>
      </c>
      <c r="Q16" s="83"/>
      <c r="R16" s="84" t="s">
        <v>11</v>
      </c>
      <c r="S16" s="85"/>
      <c r="T16" s="86" t="s">
        <v>12</v>
      </c>
      <c r="U16" s="83"/>
      <c r="V16" s="84" t="s">
        <v>13</v>
      </c>
      <c r="W16" s="85"/>
      <c r="X16" s="91" t="s">
        <v>14</v>
      </c>
      <c r="Y16" s="92"/>
      <c r="Z16" s="91" t="s">
        <v>15</v>
      </c>
      <c r="AA16" s="93"/>
    </row>
    <row r="17" spans="1:27" ht="15.75" thickBot="1" x14ac:dyDescent="0.3">
      <c r="A17" s="81"/>
      <c r="B17" s="6" t="s">
        <v>16</v>
      </c>
      <c r="C17" s="6" t="s">
        <v>17</v>
      </c>
      <c r="D17" s="6" t="s">
        <v>16</v>
      </c>
      <c r="E17" s="6" t="s">
        <v>17</v>
      </c>
      <c r="F17" s="6" t="s">
        <v>16</v>
      </c>
      <c r="G17" s="6" t="s">
        <v>17</v>
      </c>
      <c r="H17" s="6" t="s">
        <v>16</v>
      </c>
      <c r="I17" s="6" t="s">
        <v>17</v>
      </c>
      <c r="J17" s="6" t="s">
        <v>16</v>
      </c>
      <c r="K17" s="6" t="s">
        <v>17</v>
      </c>
      <c r="L17" s="6" t="s">
        <v>16</v>
      </c>
      <c r="M17" s="6" t="s">
        <v>17</v>
      </c>
      <c r="N17" s="6" t="s">
        <v>16</v>
      </c>
      <c r="O17" s="6" t="s">
        <v>17</v>
      </c>
      <c r="P17" s="6" t="s">
        <v>16</v>
      </c>
      <c r="Q17" s="6" t="s">
        <v>17</v>
      </c>
      <c r="R17" s="6" t="s">
        <v>16</v>
      </c>
      <c r="S17" s="6" t="s">
        <v>17</v>
      </c>
      <c r="T17" s="6" t="s">
        <v>16</v>
      </c>
      <c r="U17" s="6" t="s">
        <v>17</v>
      </c>
      <c r="V17" s="6" t="s">
        <v>16</v>
      </c>
      <c r="W17" s="6" t="s">
        <v>17</v>
      </c>
      <c r="X17" s="7" t="s">
        <v>16</v>
      </c>
      <c r="Y17" s="7" t="s">
        <v>17</v>
      </c>
      <c r="Z17" s="7" t="s">
        <v>16</v>
      </c>
      <c r="AA17" s="8" t="s">
        <v>17</v>
      </c>
    </row>
    <row r="18" spans="1:27" ht="20.25" x14ac:dyDescent="0.25">
      <c r="A18" s="87">
        <v>0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9"/>
    </row>
    <row r="19" spans="1:27" ht="15.75" x14ac:dyDescent="0.25">
      <c r="A19" s="9" t="s">
        <v>34</v>
      </c>
      <c r="B19" s="10">
        <v>108</v>
      </c>
      <c r="C19" s="10">
        <v>345</v>
      </c>
      <c r="D19" s="10">
        <v>5</v>
      </c>
      <c r="E19" s="10">
        <v>12</v>
      </c>
      <c r="F19" s="11">
        <f t="shared" ref="F19:G27" si="0">SUM(B19+D19)</f>
        <v>113</v>
      </c>
      <c r="G19" s="11">
        <f t="shared" si="0"/>
        <v>357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2">
        <f>SUM(F19-H19-J19-L19-N19-P19)</f>
        <v>113</v>
      </c>
      <c r="S19" s="12">
        <f>SUM(G19-I19-K19-M19-O19-Q19)</f>
        <v>357</v>
      </c>
      <c r="T19" s="12">
        <f>SUM(R19)</f>
        <v>113</v>
      </c>
      <c r="U19" s="12">
        <f>SUM(S19)</f>
        <v>357</v>
      </c>
      <c r="V19" s="10">
        <v>95</v>
      </c>
      <c r="W19" s="10">
        <v>330</v>
      </c>
      <c r="X19" s="13">
        <f>AVERAGE(V19*100/T19)</f>
        <v>84.070796460176993</v>
      </c>
      <c r="Y19" s="14">
        <f t="shared" ref="X19:Y27" si="1">AVERAGE(W19*100/U19)</f>
        <v>92.436974789915965</v>
      </c>
      <c r="Z19" s="14">
        <f t="shared" ref="Z19:AA27" si="2">AVERAGE(H19*100/F19)</f>
        <v>0</v>
      </c>
      <c r="AA19" s="15">
        <f t="shared" si="2"/>
        <v>0</v>
      </c>
    </row>
    <row r="20" spans="1:27" ht="15.75" x14ac:dyDescent="0.25">
      <c r="A20" s="9" t="s">
        <v>18</v>
      </c>
      <c r="B20" s="16">
        <v>126</v>
      </c>
      <c r="C20" s="16">
        <v>401</v>
      </c>
      <c r="D20" s="16">
        <v>10</v>
      </c>
      <c r="E20" s="16">
        <v>12</v>
      </c>
      <c r="F20" s="11">
        <f t="shared" si="0"/>
        <v>136</v>
      </c>
      <c r="G20" s="17">
        <f t="shared" si="0"/>
        <v>413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2">
        <f t="shared" ref="R20:S27" si="3">SUM(F20-H20-J20-L20-N20-P20)</f>
        <v>136</v>
      </c>
      <c r="S20" s="12">
        <f t="shared" si="3"/>
        <v>413</v>
      </c>
      <c r="T20" s="12">
        <f t="shared" ref="T20:U21" si="4">SUM(R20)</f>
        <v>136</v>
      </c>
      <c r="U20" s="12">
        <f t="shared" si="4"/>
        <v>413</v>
      </c>
      <c r="V20" s="16">
        <v>125</v>
      </c>
      <c r="W20" s="16">
        <v>355</v>
      </c>
      <c r="X20" s="13">
        <f t="shared" ref="X20:X21" si="5">AVERAGE(V20*100/T20)</f>
        <v>91.911764705882348</v>
      </c>
      <c r="Y20" s="14">
        <f t="shared" ref="Y20:Y21" si="6">AVERAGE(W20*100/U20)</f>
        <v>85.956416464891035</v>
      </c>
      <c r="Z20" s="14">
        <f t="shared" ref="Z20:Z21" si="7">AVERAGE(H20*100/F20)</f>
        <v>0</v>
      </c>
      <c r="AA20" s="15">
        <f t="shared" ref="AA20:AA21" si="8">AVERAGE(I20*100/G20)</f>
        <v>0</v>
      </c>
    </row>
    <row r="21" spans="1:27" ht="16.5" thickBot="1" x14ac:dyDescent="0.3">
      <c r="A21" s="9" t="s">
        <v>19</v>
      </c>
      <c r="B21" s="16">
        <v>69</v>
      </c>
      <c r="C21" s="16">
        <v>213</v>
      </c>
      <c r="D21" s="16">
        <v>6</v>
      </c>
      <c r="E21" s="16">
        <v>6</v>
      </c>
      <c r="F21" s="11">
        <f t="shared" si="0"/>
        <v>75</v>
      </c>
      <c r="G21" s="17">
        <f t="shared" si="0"/>
        <v>219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2">
        <f t="shared" si="3"/>
        <v>75</v>
      </c>
      <c r="S21" s="12">
        <f t="shared" si="3"/>
        <v>219</v>
      </c>
      <c r="T21" s="12">
        <f t="shared" si="4"/>
        <v>75</v>
      </c>
      <c r="U21" s="12">
        <f t="shared" si="4"/>
        <v>219</v>
      </c>
      <c r="V21" s="16">
        <v>70</v>
      </c>
      <c r="W21" s="16">
        <v>200</v>
      </c>
      <c r="X21" s="13">
        <f t="shared" si="5"/>
        <v>93.333333333333329</v>
      </c>
      <c r="Y21" s="14">
        <f t="shared" si="6"/>
        <v>91.324200913242009</v>
      </c>
      <c r="Z21" s="14">
        <f t="shared" si="7"/>
        <v>0</v>
      </c>
      <c r="AA21" s="15">
        <f t="shared" si="8"/>
        <v>0</v>
      </c>
    </row>
    <row r="22" spans="1:27" ht="15.75" x14ac:dyDescent="0.25">
      <c r="A22" s="18" t="s">
        <v>21</v>
      </c>
      <c r="B22" s="19">
        <f>SUM(B21+B20+B19)</f>
        <v>303</v>
      </c>
      <c r="C22" s="19">
        <f t="shared" ref="C22:E22" si="9">SUM(C21+C20+C19)</f>
        <v>959</v>
      </c>
      <c r="D22" s="19">
        <f t="shared" si="9"/>
        <v>21</v>
      </c>
      <c r="E22" s="19">
        <f t="shared" si="9"/>
        <v>30</v>
      </c>
      <c r="F22" s="19">
        <f>SUM(F19:F21)</f>
        <v>324</v>
      </c>
      <c r="G22" s="19">
        <f>SUM(G19:G21)</f>
        <v>989</v>
      </c>
      <c r="H22" s="19">
        <f>SUM(H21+H20+H19)</f>
        <v>0</v>
      </c>
      <c r="I22" s="19">
        <f t="shared" ref="I22:Q22" si="10">SUM(I21+I20+I19)</f>
        <v>0</v>
      </c>
      <c r="J22" s="19">
        <f t="shared" si="10"/>
        <v>0</v>
      </c>
      <c r="K22" s="19">
        <f t="shared" si="10"/>
        <v>0</v>
      </c>
      <c r="L22" s="19">
        <f t="shared" si="10"/>
        <v>0</v>
      </c>
      <c r="M22" s="19">
        <f t="shared" si="10"/>
        <v>0</v>
      </c>
      <c r="N22" s="19">
        <f t="shared" si="10"/>
        <v>0</v>
      </c>
      <c r="O22" s="19">
        <f t="shared" si="10"/>
        <v>0</v>
      </c>
      <c r="P22" s="19">
        <f t="shared" si="10"/>
        <v>0</v>
      </c>
      <c r="Q22" s="19">
        <f t="shared" si="10"/>
        <v>0</v>
      </c>
      <c r="R22" s="20">
        <f>SUM(R19:R21)</f>
        <v>324</v>
      </c>
      <c r="S22" s="20">
        <f t="shared" ref="S22:U22" si="11">SUM(S19:S21)</f>
        <v>989</v>
      </c>
      <c r="T22" s="20">
        <f t="shared" si="11"/>
        <v>324</v>
      </c>
      <c r="U22" s="20">
        <f t="shared" si="11"/>
        <v>989</v>
      </c>
      <c r="V22" s="19">
        <f>SUM(V21+V20+V19)</f>
        <v>290</v>
      </c>
      <c r="W22" s="19">
        <f>SUM(W21+W20+W19)</f>
        <v>885</v>
      </c>
      <c r="X22" s="21">
        <f t="shared" si="1"/>
        <v>89.506172839506178</v>
      </c>
      <c r="Y22" s="21">
        <f t="shared" si="1"/>
        <v>89.48432760364004</v>
      </c>
      <c r="Z22" s="21">
        <f>SUM(H22/B22*100)</f>
        <v>0</v>
      </c>
      <c r="AA22" s="21">
        <f>SUM(I22/C22*100)</f>
        <v>0</v>
      </c>
    </row>
    <row r="23" spans="1:27" ht="15.75" x14ac:dyDescent="0.25">
      <c r="A23" s="22" t="s">
        <v>20</v>
      </c>
      <c r="B23" s="23">
        <v>48</v>
      </c>
      <c r="C23" s="23">
        <v>183</v>
      </c>
      <c r="D23" s="23">
        <v>5</v>
      </c>
      <c r="E23" s="23">
        <v>11</v>
      </c>
      <c r="F23" s="17">
        <f t="shared" ref="F23" si="12">SUM(B23+D23)</f>
        <v>53</v>
      </c>
      <c r="G23" s="17">
        <f t="shared" ref="G23" si="13">SUM(C23+E23)</f>
        <v>194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2">
        <f t="shared" ref="R23" si="14">SUM(F23-H23-J23-L23-N23-P23)</f>
        <v>53</v>
      </c>
      <c r="S23" s="12">
        <f t="shared" ref="S23" si="15">SUM(G23-I23-K23-M23-O23-Q23)</f>
        <v>194</v>
      </c>
      <c r="T23" s="12">
        <f t="shared" ref="T23" si="16">SUM(R23)</f>
        <v>53</v>
      </c>
      <c r="U23" s="12">
        <f t="shared" ref="U23" si="17">SUM(S23)</f>
        <v>194</v>
      </c>
      <c r="V23" s="23">
        <v>35</v>
      </c>
      <c r="W23" s="23">
        <v>147</v>
      </c>
      <c r="X23" s="24">
        <f t="shared" ref="X23" si="18">AVERAGE(V23*100/T23)</f>
        <v>66.037735849056602</v>
      </c>
      <c r="Y23" s="24">
        <f t="shared" ref="Y23" si="19">AVERAGE(W23*100/U23)</f>
        <v>75.773195876288653</v>
      </c>
      <c r="Z23" s="24">
        <f t="shared" ref="Z23" si="20">AVERAGE(H23*100/F23)</f>
        <v>0</v>
      </c>
      <c r="AA23" s="24">
        <f t="shared" ref="AA23" si="21">AVERAGE(I23*100/G23)</f>
        <v>0</v>
      </c>
    </row>
    <row r="24" spans="1:27" ht="15.75" x14ac:dyDescent="0.25">
      <c r="A24" s="25" t="s">
        <v>22</v>
      </c>
      <c r="B24" s="26">
        <v>46</v>
      </c>
      <c r="C24" s="26">
        <v>192</v>
      </c>
      <c r="D24" s="26">
        <v>0</v>
      </c>
      <c r="E24" s="26">
        <v>0</v>
      </c>
      <c r="F24" s="27">
        <f t="shared" si="0"/>
        <v>46</v>
      </c>
      <c r="G24" s="27">
        <f t="shared" si="0"/>
        <v>192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8">
        <f t="shared" si="3"/>
        <v>46</v>
      </c>
      <c r="S24" s="28">
        <f t="shared" si="3"/>
        <v>192</v>
      </c>
      <c r="T24" s="28">
        <f t="shared" ref="T24:U26" si="22">SUM(R24)</f>
        <v>46</v>
      </c>
      <c r="U24" s="28">
        <f t="shared" si="22"/>
        <v>192</v>
      </c>
      <c r="V24" s="26">
        <v>32</v>
      </c>
      <c r="W24" s="26">
        <v>154</v>
      </c>
      <c r="X24" s="29">
        <f t="shared" si="1"/>
        <v>69.565217391304344</v>
      </c>
      <c r="Y24" s="29">
        <f t="shared" si="1"/>
        <v>80.208333333333329</v>
      </c>
      <c r="Z24" s="29">
        <f t="shared" si="2"/>
        <v>0</v>
      </c>
      <c r="AA24" s="30">
        <f t="shared" si="2"/>
        <v>0</v>
      </c>
    </row>
    <row r="25" spans="1:27" ht="16.5" thickBot="1" x14ac:dyDescent="0.3">
      <c r="A25" s="31" t="s">
        <v>23</v>
      </c>
      <c r="B25" s="32">
        <v>29</v>
      </c>
      <c r="C25" s="32">
        <v>135</v>
      </c>
      <c r="D25" s="32">
        <v>2</v>
      </c>
      <c r="E25" s="32">
        <v>12</v>
      </c>
      <c r="F25" s="17">
        <f t="shared" si="0"/>
        <v>31</v>
      </c>
      <c r="G25" s="17">
        <f t="shared" si="0"/>
        <v>147</v>
      </c>
      <c r="H25" s="32">
        <v>3</v>
      </c>
      <c r="I25" s="32">
        <v>6</v>
      </c>
      <c r="J25" s="16">
        <v>0</v>
      </c>
      <c r="K25" s="16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12">
        <v>28</v>
      </c>
      <c r="S25" s="12">
        <f t="shared" si="3"/>
        <v>141</v>
      </c>
      <c r="T25" s="12">
        <f t="shared" si="22"/>
        <v>28</v>
      </c>
      <c r="U25" s="12">
        <f t="shared" si="22"/>
        <v>141</v>
      </c>
      <c r="V25" s="32">
        <v>23</v>
      </c>
      <c r="W25" s="32">
        <v>97</v>
      </c>
      <c r="X25" s="33">
        <f t="shared" si="1"/>
        <v>82.142857142857139</v>
      </c>
      <c r="Y25" s="33">
        <f t="shared" si="1"/>
        <v>68.794326241134755</v>
      </c>
      <c r="Z25" s="33">
        <f t="shared" si="2"/>
        <v>9.67741935483871</v>
      </c>
      <c r="AA25" s="34">
        <f t="shared" si="2"/>
        <v>4.0816326530612246</v>
      </c>
    </row>
    <row r="26" spans="1:27" ht="16.5" thickBot="1" x14ac:dyDescent="0.3">
      <c r="A26" s="35" t="s">
        <v>24</v>
      </c>
      <c r="B26" s="19">
        <f>SUM(B23:B25)</f>
        <v>123</v>
      </c>
      <c r="C26" s="19">
        <f t="shared" ref="C26:E26" si="23">SUM(C23:C25)</f>
        <v>510</v>
      </c>
      <c r="D26" s="19">
        <f t="shared" si="23"/>
        <v>7</v>
      </c>
      <c r="E26" s="19">
        <f t="shared" si="23"/>
        <v>23</v>
      </c>
      <c r="F26" s="19">
        <f t="shared" si="0"/>
        <v>130</v>
      </c>
      <c r="G26" s="19">
        <f t="shared" si="0"/>
        <v>533</v>
      </c>
      <c r="H26" s="19">
        <f>SUM(H23:H25)</f>
        <v>3</v>
      </c>
      <c r="I26" s="19">
        <f t="shared" ref="I26:Q26" si="24">SUM(I23:I25)</f>
        <v>6</v>
      </c>
      <c r="J26" s="19">
        <f t="shared" si="24"/>
        <v>0</v>
      </c>
      <c r="K26" s="19">
        <f t="shared" si="24"/>
        <v>0</v>
      </c>
      <c r="L26" s="19">
        <f t="shared" si="24"/>
        <v>0</v>
      </c>
      <c r="M26" s="19">
        <f t="shared" si="24"/>
        <v>0</v>
      </c>
      <c r="N26" s="19">
        <f t="shared" si="24"/>
        <v>0</v>
      </c>
      <c r="O26" s="19">
        <f t="shared" si="24"/>
        <v>0</v>
      </c>
      <c r="P26" s="19">
        <f t="shared" si="24"/>
        <v>0</v>
      </c>
      <c r="Q26" s="19">
        <f t="shared" si="24"/>
        <v>0</v>
      </c>
      <c r="R26" s="36">
        <f t="shared" si="3"/>
        <v>127</v>
      </c>
      <c r="S26" s="36">
        <f t="shared" si="3"/>
        <v>527</v>
      </c>
      <c r="T26" s="12">
        <f t="shared" si="22"/>
        <v>127</v>
      </c>
      <c r="U26" s="12">
        <f t="shared" si="22"/>
        <v>527</v>
      </c>
      <c r="V26" s="19">
        <f>SUM(V23:V25)</f>
        <v>90</v>
      </c>
      <c r="W26" s="19">
        <f>SUM(W23:W25)</f>
        <v>398</v>
      </c>
      <c r="X26" s="21">
        <f t="shared" si="1"/>
        <v>70.866141732283467</v>
      </c>
      <c r="Y26" s="21">
        <f t="shared" si="1"/>
        <v>75.521821631878552</v>
      </c>
      <c r="Z26" s="21">
        <f t="shared" si="2"/>
        <v>2.3076923076923075</v>
      </c>
      <c r="AA26" s="37">
        <f t="shared" si="2"/>
        <v>1.125703564727955</v>
      </c>
    </row>
    <row r="27" spans="1:27" ht="32.25" thickBot="1" x14ac:dyDescent="0.3">
      <c r="A27" s="38" t="s">
        <v>25</v>
      </c>
      <c r="B27" s="39">
        <f>SUM(B22+B26)</f>
        <v>426</v>
      </c>
      <c r="C27" s="39">
        <f>SUM(C22+C26)</f>
        <v>1469</v>
      </c>
      <c r="D27" s="39">
        <f>SUM(D22+D26)</f>
        <v>28</v>
      </c>
      <c r="E27" s="39">
        <f>SUM(E22+E26)</f>
        <v>53</v>
      </c>
      <c r="F27" s="39">
        <f t="shared" si="0"/>
        <v>454</v>
      </c>
      <c r="G27" s="39">
        <f t="shared" si="0"/>
        <v>1522</v>
      </c>
      <c r="H27" s="39">
        <f t="shared" ref="H27:Q27" si="25">SUM(H22+H26)</f>
        <v>3</v>
      </c>
      <c r="I27" s="39">
        <f t="shared" si="25"/>
        <v>6</v>
      </c>
      <c r="J27" s="39">
        <f t="shared" si="25"/>
        <v>0</v>
      </c>
      <c r="K27" s="39">
        <f t="shared" si="25"/>
        <v>0</v>
      </c>
      <c r="L27" s="39">
        <f t="shared" si="25"/>
        <v>0</v>
      </c>
      <c r="M27" s="39">
        <f t="shared" si="25"/>
        <v>0</v>
      </c>
      <c r="N27" s="39">
        <f t="shared" si="25"/>
        <v>0</v>
      </c>
      <c r="O27" s="39">
        <f t="shared" si="25"/>
        <v>0</v>
      </c>
      <c r="P27" s="39">
        <f t="shared" si="25"/>
        <v>0</v>
      </c>
      <c r="Q27" s="39">
        <f t="shared" si="25"/>
        <v>0</v>
      </c>
      <c r="R27" s="39">
        <f t="shared" si="3"/>
        <v>451</v>
      </c>
      <c r="S27" s="39">
        <f t="shared" si="3"/>
        <v>1516</v>
      </c>
      <c r="T27" s="39">
        <f>SUM(T26+T22)</f>
        <v>451</v>
      </c>
      <c r="U27" s="39">
        <f>U26+U22</f>
        <v>1516</v>
      </c>
      <c r="V27" s="39">
        <f>SUM(V22+V26)</f>
        <v>380</v>
      </c>
      <c r="W27" s="39">
        <f>SUM(W22+W26)</f>
        <v>1283</v>
      </c>
      <c r="X27" s="40">
        <f t="shared" si="1"/>
        <v>84.257206208425714</v>
      </c>
      <c r="Y27" s="40">
        <f t="shared" si="1"/>
        <v>84.630606860158309</v>
      </c>
      <c r="Z27" s="40">
        <f t="shared" si="2"/>
        <v>0.66079295154185025</v>
      </c>
      <c r="AA27" s="41">
        <f t="shared" si="2"/>
        <v>0.39421813403416556</v>
      </c>
    </row>
    <row r="28" spans="1:27" ht="20.25" x14ac:dyDescent="0.25">
      <c r="A28" s="87" t="s">
        <v>26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9"/>
    </row>
    <row r="29" spans="1:27" ht="15.75" x14ac:dyDescent="0.25">
      <c r="A29" s="9" t="s">
        <v>34</v>
      </c>
      <c r="B29" s="16"/>
      <c r="C29" s="16"/>
      <c r="D29" s="16"/>
      <c r="E29" s="16"/>
      <c r="F29" s="17">
        <f>SUM(B29+D29)</f>
        <v>0</v>
      </c>
      <c r="G29" s="17">
        <f>SUM(C29+E29)</f>
        <v>0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2">
        <f>SUM(F29-H29-J29-L29-N29-P29)</f>
        <v>0</v>
      </c>
      <c r="S29" s="12">
        <f>SUM(G29-I29-K29-M29-O29-Q29)</f>
        <v>0</v>
      </c>
      <c r="T29" s="12">
        <f>SUM(R29)</f>
        <v>0</v>
      </c>
      <c r="U29" s="12">
        <f>SUM(S29)</f>
        <v>0</v>
      </c>
      <c r="V29" s="16"/>
      <c r="W29" s="16"/>
      <c r="X29" s="24" t="e">
        <f>AVERAGE(V29*100/T29)</f>
        <v>#DIV/0!</v>
      </c>
      <c r="Y29" s="24" t="e">
        <f>AVERAGE(W29*100/U29)</f>
        <v>#DIV/0!</v>
      </c>
      <c r="Z29" s="24" t="e">
        <f>AVERAGE(H29*100/F29)</f>
        <v>#DIV/0!</v>
      </c>
      <c r="AA29" s="42" t="e">
        <f>AVERAGE(I29*100/G29)</f>
        <v>#DIV/0!</v>
      </c>
    </row>
    <row r="30" spans="1:27" ht="15.75" x14ac:dyDescent="0.25">
      <c r="A30" s="9" t="s">
        <v>18</v>
      </c>
      <c r="B30" s="16"/>
      <c r="C30" s="16"/>
      <c r="D30" s="16"/>
      <c r="E30" s="16"/>
      <c r="F30" s="17">
        <f t="shared" ref="F30" si="26">SUM(B30+D30)</f>
        <v>0</v>
      </c>
      <c r="G30" s="17">
        <f t="shared" ref="G30" si="27">SUM(C30+E30)</f>
        <v>0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2">
        <f t="shared" ref="R30" si="28">SUM(F30-H30-J30-L30-N30-P30)</f>
        <v>0</v>
      </c>
      <c r="S30" s="12">
        <f t="shared" ref="S30" si="29">SUM(G30-I30-K30-M30-O30-Q30)</f>
        <v>0</v>
      </c>
      <c r="T30" s="12">
        <f t="shared" ref="T30" si="30">SUM(R30)</f>
        <v>0</v>
      </c>
      <c r="U30" s="12">
        <f t="shared" ref="U30" si="31">SUM(S30)</f>
        <v>0</v>
      </c>
      <c r="V30" s="16"/>
      <c r="W30" s="16"/>
      <c r="X30" s="24" t="e">
        <f t="shared" ref="X30:X31" si="32">AVERAGE(V30*100/T30)</f>
        <v>#DIV/0!</v>
      </c>
      <c r="Y30" s="24" t="e">
        <f t="shared" ref="Y30:Y31" si="33">AVERAGE(W30*100/U30)</f>
        <v>#DIV/0!</v>
      </c>
      <c r="Z30" s="24" t="e">
        <f t="shared" ref="Z30:Z31" si="34">AVERAGE(H30*100/F30)</f>
        <v>#DIV/0!</v>
      </c>
      <c r="AA30" s="42" t="e">
        <f t="shared" ref="AA30:AA31" si="35">AVERAGE(I30*100/G30)</f>
        <v>#DIV/0!</v>
      </c>
    </row>
    <row r="31" spans="1:27" ht="16.5" thickBot="1" x14ac:dyDescent="0.3">
      <c r="A31" s="9" t="s">
        <v>19</v>
      </c>
      <c r="B31" s="16"/>
      <c r="C31" s="16"/>
      <c r="D31" s="16"/>
      <c r="E31" s="16"/>
      <c r="F31" s="43">
        <f t="shared" ref="F31:F37" si="36">SUM(B31+D31)</f>
        <v>0</v>
      </c>
      <c r="G31" s="43">
        <f t="shared" ref="G31:G37" si="37">SUM(C31+E31)</f>
        <v>0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2">
        <f t="shared" ref="R31:S37" si="38">SUM(F31-H31-J31-L31-N31-P31)</f>
        <v>0</v>
      </c>
      <c r="S31" s="12">
        <f t="shared" si="38"/>
        <v>0</v>
      </c>
      <c r="T31" s="12">
        <f t="shared" ref="T31:U37" si="39">SUM(R31)</f>
        <v>0</v>
      </c>
      <c r="U31" s="12">
        <f t="shared" si="39"/>
        <v>0</v>
      </c>
      <c r="V31" s="16"/>
      <c r="W31" s="16"/>
      <c r="X31" s="24" t="e">
        <f t="shared" si="32"/>
        <v>#DIV/0!</v>
      </c>
      <c r="Y31" s="24" t="e">
        <f t="shared" si="33"/>
        <v>#DIV/0!</v>
      </c>
      <c r="Z31" s="24" t="e">
        <f t="shared" si="34"/>
        <v>#DIV/0!</v>
      </c>
      <c r="AA31" s="42" t="e">
        <f t="shared" si="35"/>
        <v>#DIV/0!</v>
      </c>
    </row>
    <row r="32" spans="1:27" ht="15.75" x14ac:dyDescent="0.25">
      <c r="A32" s="35" t="s">
        <v>21</v>
      </c>
      <c r="B32" s="19">
        <f>SUM(B29:B31)</f>
        <v>0</v>
      </c>
      <c r="C32" s="19">
        <f>SUM(C29:C31)</f>
        <v>0</v>
      </c>
      <c r="D32" s="19">
        <f>SUM(D29:D31)</f>
        <v>0</v>
      </c>
      <c r="E32" s="19">
        <f>SUM(E29:E31)</f>
        <v>0</v>
      </c>
      <c r="F32" s="17">
        <f t="shared" si="36"/>
        <v>0</v>
      </c>
      <c r="G32" s="17">
        <f t="shared" si="37"/>
        <v>0</v>
      </c>
      <c r="H32" s="19">
        <f t="shared" ref="H32:Q32" si="40">SUM(H29:H31)</f>
        <v>0</v>
      </c>
      <c r="I32" s="19">
        <f t="shared" si="40"/>
        <v>0</v>
      </c>
      <c r="J32" s="19">
        <f t="shared" si="40"/>
        <v>0</v>
      </c>
      <c r="K32" s="19">
        <f t="shared" si="40"/>
        <v>0</v>
      </c>
      <c r="L32" s="19">
        <f t="shared" si="40"/>
        <v>0</v>
      </c>
      <c r="M32" s="19">
        <f t="shared" si="40"/>
        <v>0</v>
      </c>
      <c r="N32" s="19">
        <f t="shared" si="40"/>
        <v>0</v>
      </c>
      <c r="O32" s="19">
        <f t="shared" si="40"/>
        <v>0</v>
      </c>
      <c r="P32" s="19">
        <f t="shared" si="40"/>
        <v>0</v>
      </c>
      <c r="Q32" s="19">
        <f t="shared" si="40"/>
        <v>0</v>
      </c>
      <c r="R32" s="36">
        <f t="shared" si="38"/>
        <v>0</v>
      </c>
      <c r="S32" s="36">
        <f t="shared" si="38"/>
        <v>0</v>
      </c>
      <c r="T32" s="36">
        <f t="shared" si="39"/>
        <v>0</v>
      </c>
      <c r="U32" s="36">
        <f t="shared" si="39"/>
        <v>0</v>
      </c>
      <c r="V32" s="19">
        <f>SUM(V29:V31)</f>
        <v>0</v>
      </c>
      <c r="W32" s="19">
        <f>SUM(W29:W31)</f>
        <v>0</v>
      </c>
      <c r="X32" s="21" t="e">
        <f t="shared" ref="X32:Y37" si="41">AVERAGE(V32*100/T32)</f>
        <v>#DIV/0!</v>
      </c>
      <c r="Y32" s="21" t="e">
        <f t="shared" si="41"/>
        <v>#DIV/0!</v>
      </c>
      <c r="Z32" s="21" t="e">
        <f t="shared" ref="Z32:AA37" si="42">AVERAGE(H32*100/F32)</f>
        <v>#DIV/0!</v>
      </c>
      <c r="AA32" s="37" t="e">
        <f t="shared" si="42"/>
        <v>#DIV/0!</v>
      </c>
    </row>
    <row r="33" spans="1:27" ht="15.75" x14ac:dyDescent="0.25">
      <c r="A33" s="44" t="s">
        <v>20</v>
      </c>
      <c r="B33" s="23">
        <v>0</v>
      </c>
      <c r="C33" s="23">
        <v>0</v>
      </c>
      <c r="D33" s="23"/>
      <c r="E33" s="23"/>
      <c r="F33" s="17">
        <f>SUM(B33+D33)</f>
        <v>0</v>
      </c>
      <c r="G33" s="17">
        <f t="shared" ref="G33" si="43">SUM(C33+E33)</f>
        <v>0</v>
      </c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45">
        <f>SUM(F33-H33-J33-L33-N33-P33)</f>
        <v>0</v>
      </c>
      <c r="S33" s="45">
        <f>SUM(G33-I33-K33-M33-O33-Q33)</f>
        <v>0</v>
      </c>
      <c r="T33" s="45">
        <f t="shared" si="39"/>
        <v>0</v>
      </c>
      <c r="U33" s="45">
        <f t="shared" si="39"/>
        <v>0</v>
      </c>
      <c r="V33" s="23"/>
      <c r="W33" s="23"/>
      <c r="X33" s="24" t="e">
        <f t="shared" ref="X33" si="44">AVERAGE(V33*100/T33)</f>
        <v>#DIV/0!</v>
      </c>
      <c r="Y33" s="24" t="e">
        <f t="shared" ref="Y33" si="45">AVERAGE(W33*100/U33)</f>
        <v>#DIV/0!</v>
      </c>
      <c r="Z33" s="24" t="e">
        <f t="shared" ref="Z33" si="46">AVERAGE(H33*100/F33)</f>
        <v>#DIV/0!</v>
      </c>
      <c r="AA33" s="24" t="e">
        <f t="shared" ref="AA33" si="47">AVERAGE(I33*100/G33)</f>
        <v>#DIV/0!</v>
      </c>
    </row>
    <row r="34" spans="1:27" ht="16.5" thickBot="1" x14ac:dyDescent="0.3">
      <c r="A34" s="25" t="s">
        <v>22</v>
      </c>
      <c r="B34" s="26"/>
      <c r="C34" s="26"/>
      <c r="D34" s="26"/>
      <c r="E34" s="26"/>
      <c r="F34" s="27">
        <f>SUM(B34+D34)</f>
        <v>0</v>
      </c>
      <c r="G34" s="27">
        <f t="shared" si="37"/>
        <v>0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8">
        <f t="shared" si="38"/>
        <v>0</v>
      </c>
      <c r="S34" s="28">
        <f t="shared" ref="S34" si="48">SUM(G34-I34-K34-M34-O34-Q34)</f>
        <v>0</v>
      </c>
      <c r="T34" s="28">
        <f t="shared" ref="T34" si="49">SUM(H34-J34-L34-N34-P34-R34)</f>
        <v>0</v>
      </c>
      <c r="U34" s="28">
        <f t="shared" ref="U34" si="50">SUM(I34-K34-M34-O34-Q34-S34)</f>
        <v>0</v>
      </c>
      <c r="V34" s="26"/>
      <c r="W34" s="26"/>
      <c r="X34" s="29" t="e">
        <f t="shared" si="41"/>
        <v>#DIV/0!</v>
      </c>
      <c r="Y34" s="29" t="e">
        <f t="shared" si="41"/>
        <v>#DIV/0!</v>
      </c>
      <c r="Z34" s="46" t="e">
        <f t="shared" si="42"/>
        <v>#DIV/0!</v>
      </c>
      <c r="AA34" s="30" t="e">
        <f t="shared" si="42"/>
        <v>#DIV/0!</v>
      </c>
    </row>
    <row r="35" spans="1:27" ht="16.5" thickBot="1" x14ac:dyDescent="0.3">
      <c r="A35" s="31" t="s">
        <v>23</v>
      </c>
      <c r="B35" s="32"/>
      <c r="C35" s="32"/>
      <c r="D35" s="32"/>
      <c r="E35" s="32"/>
      <c r="F35" s="43">
        <f t="shared" si="36"/>
        <v>0</v>
      </c>
      <c r="G35" s="43">
        <f t="shared" si="37"/>
        <v>0</v>
      </c>
      <c r="H35" s="32"/>
      <c r="I35" s="32"/>
      <c r="J35" s="16"/>
      <c r="K35" s="16"/>
      <c r="L35" s="32"/>
      <c r="M35" s="32"/>
      <c r="N35" s="32"/>
      <c r="O35" s="32"/>
      <c r="P35" s="32"/>
      <c r="Q35" s="32"/>
      <c r="R35" s="12">
        <f t="shared" si="38"/>
        <v>0</v>
      </c>
      <c r="S35" s="12">
        <f t="shared" si="38"/>
        <v>0</v>
      </c>
      <c r="T35" s="12">
        <f t="shared" si="39"/>
        <v>0</v>
      </c>
      <c r="U35" s="12">
        <f t="shared" si="39"/>
        <v>0</v>
      </c>
      <c r="V35" s="32"/>
      <c r="W35" s="32"/>
      <c r="X35" s="33" t="e">
        <f t="shared" si="41"/>
        <v>#DIV/0!</v>
      </c>
      <c r="Y35" s="33" t="e">
        <f t="shared" si="41"/>
        <v>#DIV/0!</v>
      </c>
      <c r="Z35" s="33" t="e">
        <f t="shared" si="42"/>
        <v>#DIV/0!</v>
      </c>
      <c r="AA35" s="34" t="e">
        <f t="shared" si="42"/>
        <v>#DIV/0!</v>
      </c>
    </row>
    <row r="36" spans="1:27" ht="16.5" thickBot="1" x14ac:dyDescent="0.3">
      <c r="A36" s="35" t="s">
        <v>24</v>
      </c>
      <c r="B36" s="19">
        <f>SUM(B33+B34+B35)</f>
        <v>0</v>
      </c>
      <c r="C36" s="19">
        <f t="shared" ref="C36:Q36" si="51">SUM(C33+C34+C35)</f>
        <v>0</v>
      </c>
      <c r="D36" s="19">
        <f t="shared" si="51"/>
        <v>0</v>
      </c>
      <c r="E36" s="19">
        <f t="shared" si="51"/>
        <v>0</v>
      </c>
      <c r="F36" s="19">
        <f t="shared" si="51"/>
        <v>0</v>
      </c>
      <c r="G36" s="19">
        <f t="shared" si="51"/>
        <v>0</v>
      </c>
      <c r="H36" s="19">
        <f t="shared" si="51"/>
        <v>0</v>
      </c>
      <c r="I36" s="19">
        <f t="shared" si="51"/>
        <v>0</v>
      </c>
      <c r="J36" s="19">
        <f t="shared" si="51"/>
        <v>0</v>
      </c>
      <c r="K36" s="19">
        <f t="shared" si="51"/>
        <v>0</v>
      </c>
      <c r="L36" s="19">
        <f t="shared" si="51"/>
        <v>0</v>
      </c>
      <c r="M36" s="19">
        <f t="shared" si="51"/>
        <v>0</v>
      </c>
      <c r="N36" s="19">
        <f t="shared" si="51"/>
        <v>0</v>
      </c>
      <c r="O36" s="19">
        <f t="shared" si="51"/>
        <v>0</v>
      </c>
      <c r="P36" s="19">
        <f t="shared" si="51"/>
        <v>0</v>
      </c>
      <c r="Q36" s="19">
        <f t="shared" si="51"/>
        <v>0</v>
      </c>
      <c r="R36" s="36">
        <f t="shared" si="38"/>
        <v>0</v>
      </c>
      <c r="S36" s="36">
        <f t="shared" si="38"/>
        <v>0</v>
      </c>
      <c r="T36" s="36">
        <f t="shared" si="39"/>
        <v>0</v>
      </c>
      <c r="U36" s="36">
        <f t="shared" si="39"/>
        <v>0</v>
      </c>
      <c r="V36" s="19">
        <f>SUM(V34:V35)</f>
        <v>0</v>
      </c>
      <c r="W36" s="19">
        <f>SUM(W34:W35)</f>
        <v>0</v>
      </c>
      <c r="X36" s="21" t="e">
        <f t="shared" si="41"/>
        <v>#DIV/0!</v>
      </c>
      <c r="Y36" s="21" t="e">
        <f t="shared" si="41"/>
        <v>#DIV/0!</v>
      </c>
      <c r="Z36" s="21" t="e">
        <f t="shared" si="42"/>
        <v>#DIV/0!</v>
      </c>
      <c r="AA36" s="37" t="e">
        <f t="shared" si="42"/>
        <v>#DIV/0!</v>
      </c>
    </row>
    <row r="37" spans="1:27" ht="32.25" thickBot="1" x14ac:dyDescent="0.3">
      <c r="A37" s="38" t="s">
        <v>27</v>
      </c>
      <c r="B37" s="39">
        <f>SUM(B32+B36)</f>
        <v>0</v>
      </c>
      <c r="C37" s="39">
        <f>SUM(C32+C36)</f>
        <v>0</v>
      </c>
      <c r="D37" s="39">
        <f>SUM(D32+D36)</f>
        <v>0</v>
      </c>
      <c r="E37" s="39">
        <f>SUM(E32+E36)</f>
        <v>0</v>
      </c>
      <c r="F37" s="39">
        <f t="shared" si="36"/>
        <v>0</v>
      </c>
      <c r="G37" s="39">
        <f t="shared" si="37"/>
        <v>0</v>
      </c>
      <c r="H37" s="39">
        <f t="shared" ref="H37:Q37" si="52">SUM(H32+H36)</f>
        <v>0</v>
      </c>
      <c r="I37" s="39">
        <f t="shared" si="52"/>
        <v>0</v>
      </c>
      <c r="J37" s="39">
        <f t="shared" si="52"/>
        <v>0</v>
      </c>
      <c r="K37" s="39">
        <f t="shared" si="52"/>
        <v>0</v>
      </c>
      <c r="L37" s="39">
        <f t="shared" si="52"/>
        <v>0</v>
      </c>
      <c r="M37" s="39">
        <f t="shared" si="52"/>
        <v>0</v>
      </c>
      <c r="N37" s="39">
        <f t="shared" si="52"/>
        <v>0</v>
      </c>
      <c r="O37" s="39">
        <f t="shared" si="52"/>
        <v>0</v>
      </c>
      <c r="P37" s="39">
        <f t="shared" si="52"/>
        <v>0</v>
      </c>
      <c r="Q37" s="39">
        <f t="shared" si="52"/>
        <v>0</v>
      </c>
      <c r="R37" s="39">
        <f t="shared" si="38"/>
        <v>0</v>
      </c>
      <c r="S37" s="39">
        <f t="shared" si="38"/>
        <v>0</v>
      </c>
      <c r="T37" s="39">
        <f t="shared" si="39"/>
        <v>0</v>
      </c>
      <c r="U37" s="39">
        <f t="shared" si="39"/>
        <v>0</v>
      </c>
      <c r="V37" s="39">
        <f>SUM(V32+V36)</f>
        <v>0</v>
      </c>
      <c r="W37" s="39">
        <f>SUM(W32+W36)</f>
        <v>0</v>
      </c>
      <c r="X37" s="40" t="e">
        <f t="shared" si="41"/>
        <v>#DIV/0!</v>
      </c>
      <c r="Y37" s="40" t="e">
        <f t="shared" si="41"/>
        <v>#DIV/0!</v>
      </c>
      <c r="Z37" s="40" t="e">
        <f t="shared" si="42"/>
        <v>#DIV/0!</v>
      </c>
      <c r="AA37" s="41" t="e">
        <f t="shared" si="42"/>
        <v>#DIV/0!</v>
      </c>
    </row>
    <row r="38" spans="1:27" ht="20.25" x14ac:dyDescent="0.25">
      <c r="A38" s="87" t="s">
        <v>33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9"/>
    </row>
    <row r="39" spans="1:27" ht="15.75" x14ac:dyDescent="0.25">
      <c r="A39" s="47" t="s">
        <v>29</v>
      </c>
      <c r="B39" s="48"/>
      <c r="C39" s="48"/>
      <c r="D39" s="48"/>
      <c r="E39" s="48"/>
      <c r="F39" s="27">
        <f t="shared" ref="F39:G41" si="53">SUM(B39+D39)</f>
        <v>0</v>
      </c>
      <c r="G39" s="27">
        <f t="shared" si="53"/>
        <v>0</v>
      </c>
      <c r="H39" s="48">
        <v>0</v>
      </c>
      <c r="I39" s="48"/>
      <c r="J39" s="48"/>
      <c r="K39" s="48"/>
      <c r="L39" s="48"/>
      <c r="M39" s="48"/>
      <c r="N39" s="48"/>
      <c r="O39" s="48"/>
      <c r="P39" s="48"/>
      <c r="Q39" s="48"/>
      <c r="R39" s="27">
        <f t="shared" ref="R39:S41" si="54">SUM(F39-H39-J39-L39-N39-P39)</f>
        <v>0</v>
      </c>
      <c r="S39" s="27">
        <f t="shared" si="54"/>
        <v>0</v>
      </c>
      <c r="T39" s="27">
        <f t="shared" ref="T39:U41" si="55">SUM(R39)</f>
        <v>0</v>
      </c>
      <c r="U39" s="27">
        <f t="shared" si="55"/>
        <v>0</v>
      </c>
      <c r="V39" s="48"/>
      <c r="W39" s="48"/>
      <c r="X39" s="29" t="e">
        <f t="shared" ref="X39:Y41" si="56">AVERAGE(V39*100/T39)</f>
        <v>#DIV/0!</v>
      </c>
      <c r="Y39" s="29" t="e">
        <f t="shared" si="56"/>
        <v>#DIV/0!</v>
      </c>
      <c r="Z39" s="29" t="e">
        <f t="shared" ref="Z39:AA41" si="57">AVERAGE(H39*100/F39)</f>
        <v>#DIV/0!</v>
      </c>
      <c r="AA39" s="30" t="e">
        <f t="shared" si="57"/>
        <v>#DIV/0!</v>
      </c>
    </row>
    <row r="40" spans="1:27" ht="16.5" thickBot="1" x14ac:dyDescent="0.3">
      <c r="A40" s="49" t="s">
        <v>30</v>
      </c>
      <c r="B40" s="50"/>
      <c r="C40" s="50"/>
      <c r="D40" s="50"/>
      <c r="E40" s="50"/>
      <c r="F40" s="43">
        <f t="shared" si="53"/>
        <v>0</v>
      </c>
      <c r="G40" s="43">
        <f t="shared" si="53"/>
        <v>0</v>
      </c>
      <c r="H40" s="50">
        <v>0</v>
      </c>
      <c r="I40" s="50"/>
      <c r="J40" s="50"/>
      <c r="K40" s="50"/>
      <c r="L40" s="50"/>
      <c r="M40" s="50"/>
      <c r="N40" s="50"/>
      <c r="O40" s="50"/>
      <c r="P40" s="50"/>
      <c r="Q40" s="50"/>
      <c r="R40" s="43">
        <f t="shared" si="54"/>
        <v>0</v>
      </c>
      <c r="S40" s="43">
        <f t="shared" si="54"/>
        <v>0</v>
      </c>
      <c r="T40" s="43">
        <f t="shared" si="55"/>
        <v>0</v>
      </c>
      <c r="U40" s="43">
        <f t="shared" si="55"/>
        <v>0</v>
      </c>
      <c r="V40" s="50"/>
      <c r="W40" s="50"/>
      <c r="X40" s="33" t="e">
        <f t="shared" si="56"/>
        <v>#DIV/0!</v>
      </c>
      <c r="Y40" s="33" t="e">
        <f t="shared" si="56"/>
        <v>#DIV/0!</v>
      </c>
      <c r="Z40" s="33" t="e">
        <f t="shared" si="57"/>
        <v>#DIV/0!</v>
      </c>
      <c r="AA40" s="34" t="e">
        <f t="shared" si="57"/>
        <v>#DIV/0!</v>
      </c>
    </row>
    <row r="41" spans="1:27" ht="16.5" thickBot="1" x14ac:dyDescent="0.3">
      <c r="A41" s="38" t="s">
        <v>31</v>
      </c>
      <c r="B41" s="39">
        <f>SUM(B39:B40)</f>
        <v>0</v>
      </c>
      <c r="C41" s="39">
        <f>SUM(C39:C40)</f>
        <v>0</v>
      </c>
      <c r="D41" s="39">
        <f>SUM(D39:D40)</f>
        <v>0</v>
      </c>
      <c r="E41" s="39">
        <f>SUM(E39:E40)</f>
        <v>0</v>
      </c>
      <c r="F41" s="39">
        <f t="shared" si="53"/>
        <v>0</v>
      </c>
      <c r="G41" s="39">
        <f t="shared" si="53"/>
        <v>0</v>
      </c>
      <c r="H41" s="39">
        <f t="shared" ref="H41" si="58">SUM(H39:H40)</f>
        <v>0</v>
      </c>
      <c r="I41" s="39"/>
      <c r="J41" s="39"/>
      <c r="K41" s="39"/>
      <c r="L41" s="39"/>
      <c r="M41" s="39"/>
      <c r="N41" s="39"/>
      <c r="O41" s="39"/>
      <c r="P41" s="39"/>
      <c r="Q41" s="39"/>
      <c r="R41" s="39">
        <f t="shared" si="54"/>
        <v>0</v>
      </c>
      <c r="S41" s="39">
        <f t="shared" si="54"/>
        <v>0</v>
      </c>
      <c r="T41" s="39">
        <f t="shared" si="55"/>
        <v>0</v>
      </c>
      <c r="U41" s="39">
        <f t="shared" si="55"/>
        <v>0</v>
      </c>
      <c r="V41" s="39"/>
      <c r="W41" s="39"/>
      <c r="X41" s="40" t="e">
        <f t="shared" si="56"/>
        <v>#DIV/0!</v>
      </c>
      <c r="Y41" s="40" t="e">
        <f t="shared" si="56"/>
        <v>#DIV/0!</v>
      </c>
      <c r="Z41" s="40" t="e">
        <f t="shared" si="57"/>
        <v>#DIV/0!</v>
      </c>
      <c r="AA41" s="41" t="e">
        <f t="shared" si="57"/>
        <v>#DIV/0!</v>
      </c>
    </row>
    <row r="42" spans="1:27" ht="20.25" x14ac:dyDescent="0.25">
      <c r="A42" s="87" t="s">
        <v>32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9"/>
    </row>
    <row r="43" spans="1:27" ht="15.75" x14ac:dyDescent="0.25">
      <c r="A43" s="51" t="s">
        <v>34</v>
      </c>
      <c r="B43" s="52">
        <f>SUM(B29+B19)</f>
        <v>108</v>
      </c>
      <c r="C43" s="52">
        <f t="shared" ref="C43:E43" si="59">SUM(C29+C19)</f>
        <v>345</v>
      </c>
      <c r="D43" s="52">
        <f t="shared" si="59"/>
        <v>5</v>
      </c>
      <c r="E43" s="52">
        <f t="shared" si="59"/>
        <v>12</v>
      </c>
      <c r="F43" s="45">
        <f>SUM(F19)</f>
        <v>113</v>
      </c>
      <c r="G43" s="45">
        <f>SUM(G19)</f>
        <v>357</v>
      </c>
      <c r="H43" s="52">
        <f>SUM(H29+H19)</f>
        <v>0</v>
      </c>
      <c r="I43" s="52">
        <f t="shared" ref="I43:Q43" si="60">SUM(I29+I19)</f>
        <v>0</v>
      </c>
      <c r="J43" s="52">
        <f t="shared" si="60"/>
        <v>0</v>
      </c>
      <c r="K43" s="52">
        <f t="shared" si="60"/>
        <v>0</v>
      </c>
      <c r="L43" s="52">
        <f t="shared" si="60"/>
        <v>0</v>
      </c>
      <c r="M43" s="52">
        <f t="shared" si="60"/>
        <v>0</v>
      </c>
      <c r="N43" s="52">
        <f t="shared" si="60"/>
        <v>0</v>
      </c>
      <c r="O43" s="52">
        <f t="shared" si="60"/>
        <v>0</v>
      </c>
      <c r="P43" s="52">
        <f t="shared" si="60"/>
        <v>0</v>
      </c>
      <c r="Q43" s="52">
        <f t="shared" si="60"/>
        <v>0</v>
      </c>
      <c r="R43" s="45">
        <f>SUM(R19)</f>
        <v>113</v>
      </c>
      <c r="S43" s="45">
        <f>SUM(S19)</f>
        <v>357</v>
      </c>
      <c r="T43" s="45">
        <f>SUM(T19)</f>
        <v>113</v>
      </c>
      <c r="U43" s="45">
        <f>SUM(U19)</f>
        <v>357</v>
      </c>
      <c r="V43" s="52">
        <f t="shared" ref="V43:W45" si="61">SUM(V29+V19)</f>
        <v>95</v>
      </c>
      <c r="W43" s="52">
        <f t="shared" si="61"/>
        <v>330</v>
      </c>
      <c r="X43" s="24">
        <f t="shared" ref="X43:Y43" si="62">AVERAGE(V43*100/T43)</f>
        <v>84.070796460176993</v>
      </c>
      <c r="Y43" s="24">
        <f t="shared" si="62"/>
        <v>92.436974789915965</v>
      </c>
      <c r="Z43" s="24">
        <f t="shared" ref="Z43:AA43" si="63">AVERAGE(H43*100/F43)</f>
        <v>0</v>
      </c>
      <c r="AA43" s="42">
        <f t="shared" si="63"/>
        <v>0</v>
      </c>
    </row>
    <row r="44" spans="1:27" ht="15.75" x14ac:dyDescent="0.25">
      <c r="A44" s="51" t="s">
        <v>18</v>
      </c>
      <c r="B44" s="53">
        <f>SUM(B30+B20)</f>
        <v>126</v>
      </c>
      <c r="C44" s="53">
        <f t="shared" ref="C44:E44" si="64">SUM(C30+C20)</f>
        <v>401</v>
      </c>
      <c r="D44" s="53">
        <f t="shared" si="64"/>
        <v>10</v>
      </c>
      <c r="E44" s="53">
        <f t="shared" si="64"/>
        <v>12</v>
      </c>
      <c r="F44" s="17">
        <f>SUM(B44+D44)</f>
        <v>136</v>
      </c>
      <c r="G44" s="17">
        <f>SUM(C44+E44)</f>
        <v>413</v>
      </c>
      <c r="H44" s="53">
        <f>SUM(H30+H20)</f>
        <v>0</v>
      </c>
      <c r="I44" s="53">
        <f t="shared" ref="I44:Q44" si="65">SUM(I30+I20)</f>
        <v>0</v>
      </c>
      <c r="J44" s="53">
        <f t="shared" si="65"/>
        <v>0</v>
      </c>
      <c r="K44" s="53">
        <f t="shared" si="65"/>
        <v>0</v>
      </c>
      <c r="L44" s="53">
        <f t="shared" si="65"/>
        <v>0</v>
      </c>
      <c r="M44" s="53">
        <f t="shared" si="65"/>
        <v>0</v>
      </c>
      <c r="N44" s="53">
        <f t="shared" si="65"/>
        <v>0</v>
      </c>
      <c r="O44" s="53">
        <f t="shared" si="65"/>
        <v>0</v>
      </c>
      <c r="P44" s="53">
        <f t="shared" si="65"/>
        <v>0</v>
      </c>
      <c r="Q44" s="53">
        <f t="shared" si="65"/>
        <v>0</v>
      </c>
      <c r="R44" s="17">
        <f>SUM(F44-H44-J44-L44-N44-P44)</f>
        <v>136</v>
      </c>
      <c r="S44" s="17">
        <f>SUM(G44-I44-K44-M44-O44-Q44)</f>
        <v>413</v>
      </c>
      <c r="T44" s="17">
        <f>SUM(R44)</f>
        <v>136</v>
      </c>
      <c r="U44" s="17">
        <f>SUM(S44)</f>
        <v>413</v>
      </c>
      <c r="V44" s="53">
        <f t="shared" si="61"/>
        <v>125</v>
      </c>
      <c r="W44" s="53">
        <f t="shared" si="61"/>
        <v>355</v>
      </c>
      <c r="X44" s="24">
        <f>AVERAGE(V44*100/T44)</f>
        <v>91.911764705882348</v>
      </c>
      <c r="Y44" s="24">
        <f>AVERAGE(W44*100/U44)</f>
        <v>85.956416464891035</v>
      </c>
      <c r="Z44" s="24">
        <f>AVERAGE(H44*100/F44)</f>
        <v>0</v>
      </c>
      <c r="AA44" s="42">
        <f>AVERAGE(I44*100/G44)</f>
        <v>0</v>
      </c>
    </row>
    <row r="45" spans="1:27" ht="16.5" thickBot="1" x14ac:dyDescent="0.3">
      <c r="A45" s="54" t="s">
        <v>19</v>
      </c>
      <c r="B45" s="55">
        <f>SUM(B31+B21)</f>
        <v>69</v>
      </c>
      <c r="C45" s="55">
        <f t="shared" ref="C45:E45" si="66">SUM(C31+C21)</f>
        <v>213</v>
      </c>
      <c r="D45" s="55">
        <f t="shared" si="66"/>
        <v>6</v>
      </c>
      <c r="E45" s="55">
        <f t="shared" si="66"/>
        <v>6</v>
      </c>
      <c r="F45" s="56">
        <f t="shared" ref="F45:G50" si="67">SUM(B45+D45)</f>
        <v>75</v>
      </c>
      <c r="G45" s="56">
        <f t="shared" si="67"/>
        <v>219</v>
      </c>
      <c r="H45" s="55">
        <f>SUM(H31+H21)</f>
        <v>0</v>
      </c>
      <c r="I45" s="55">
        <f t="shared" ref="I45:Q45" si="68">SUM(I31+I21)</f>
        <v>0</v>
      </c>
      <c r="J45" s="55">
        <f t="shared" si="68"/>
        <v>0</v>
      </c>
      <c r="K45" s="55">
        <f t="shared" si="68"/>
        <v>0</v>
      </c>
      <c r="L45" s="55">
        <f t="shared" si="68"/>
        <v>0</v>
      </c>
      <c r="M45" s="55">
        <f t="shared" si="68"/>
        <v>0</v>
      </c>
      <c r="N45" s="55">
        <f t="shared" si="68"/>
        <v>0</v>
      </c>
      <c r="O45" s="55">
        <f t="shared" si="68"/>
        <v>0</v>
      </c>
      <c r="P45" s="55">
        <f t="shared" si="68"/>
        <v>0</v>
      </c>
      <c r="Q45" s="55">
        <f t="shared" si="68"/>
        <v>0</v>
      </c>
      <c r="R45" s="56">
        <f t="shared" ref="R45:S51" si="69">SUM(F45-H45-J45-L45-N45-P45)</f>
        <v>75</v>
      </c>
      <c r="S45" s="56">
        <f t="shared" si="69"/>
        <v>219</v>
      </c>
      <c r="T45" s="56">
        <f t="shared" ref="T45:U51" si="70">SUM(R45)</f>
        <v>75</v>
      </c>
      <c r="U45" s="56">
        <f t="shared" si="70"/>
        <v>219</v>
      </c>
      <c r="V45" s="55">
        <f t="shared" si="61"/>
        <v>70</v>
      </c>
      <c r="W45" s="55">
        <f t="shared" si="61"/>
        <v>200</v>
      </c>
      <c r="X45" s="57">
        <f t="shared" ref="X45:Y50" si="71">AVERAGE(V45*100/T45)</f>
        <v>93.333333333333329</v>
      </c>
      <c r="Y45" s="57">
        <f t="shared" si="71"/>
        <v>91.324200913242009</v>
      </c>
      <c r="Z45" s="57">
        <f t="shared" ref="Z45:AA51" si="72">AVERAGE(H45*100/F45)</f>
        <v>0</v>
      </c>
      <c r="AA45" s="58">
        <f t="shared" si="72"/>
        <v>0</v>
      </c>
    </row>
    <row r="46" spans="1:27" ht="15.75" x14ac:dyDescent="0.25">
      <c r="A46" s="59" t="s">
        <v>21</v>
      </c>
      <c r="B46" s="27">
        <f>SUM(B45+B44+B43)</f>
        <v>303</v>
      </c>
      <c r="C46" s="27">
        <f t="shared" ref="C46:E46" si="73">SUM(C45+C44+C43)</f>
        <v>959</v>
      </c>
      <c r="D46" s="27">
        <f t="shared" si="73"/>
        <v>21</v>
      </c>
      <c r="E46" s="27">
        <f t="shared" si="73"/>
        <v>30</v>
      </c>
      <c r="F46" s="27">
        <f>SUM(F43:F45)</f>
        <v>324</v>
      </c>
      <c r="G46" s="27">
        <f>SUM(G43:G45)</f>
        <v>989</v>
      </c>
      <c r="H46" s="27">
        <f>SUM(H43:H45)</f>
        <v>0</v>
      </c>
      <c r="I46" s="27">
        <f t="shared" ref="I46:Q46" si="74">SUM(I43:I45)</f>
        <v>0</v>
      </c>
      <c r="J46" s="27">
        <f t="shared" si="74"/>
        <v>0</v>
      </c>
      <c r="K46" s="27">
        <f t="shared" si="74"/>
        <v>0</v>
      </c>
      <c r="L46" s="27">
        <f t="shared" si="74"/>
        <v>0</v>
      </c>
      <c r="M46" s="27">
        <f t="shared" si="74"/>
        <v>0</v>
      </c>
      <c r="N46" s="27">
        <f t="shared" si="74"/>
        <v>0</v>
      </c>
      <c r="O46" s="27">
        <f t="shared" si="74"/>
        <v>0</v>
      </c>
      <c r="P46" s="27">
        <f t="shared" si="74"/>
        <v>0</v>
      </c>
      <c r="Q46" s="27">
        <f t="shared" si="74"/>
        <v>0</v>
      </c>
      <c r="R46" s="27">
        <f>SUM(R43:R45)</f>
        <v>324</v>
      </c>
      <c r="S46" s="27">
        <f t="shared" ref="S46:U46" si="75">SUM(S43:S45)</f>
        <v>989</v>
      </c>
      <c r="T46" s="27">
        <f t="shared" si="75"/>
        <v>324</v>
      </c>
      <c r="U46" s="27">
        <f t="shared" si="75"/>
        <v>989</v>
      </c>
      <c r="V46" s="27">
        <f>SUM(V43:V45)</f>
        <v>290</v>
      </c>
      <c r="W46" s="27">
        <f>SUM(W43:W45)</f>
        <v>885</v>
      </c>
      <c r="X46" s="29">
        <f t="shared" si="71"/>
        <v>89.506172839506178</v>
      </c>
      <c r="Y46" s="29">
        <f t="shared" si="71"/>
        <v>89.48432760364004</v>
      </c>
      <c r="Z46" s="29">
        <f t="shared" si="72"/>
        <v>0</v>
      </c>
      <c r="AA46" s="29">
        <f t="shared" si="72"/>
        <v>0</v>
      </c>
    </row>
    <row r="47" spans="1:27" ht="15.75" x14ac:dyDescent="0.25">
      <c r="A47" s="60" t="s">
        <v>20</v>
      </c>
      <c r="B47" s="53">
        <f>SUM(B33+B23)</f>
        <v>48</v>
      </c>
      <c r="C47" s="53">
        <f t="shared" ref="C47:E47" si="76">SUM(C33+C23)</f>
        <v>183</v>
      </c>
      <c r="D47" s="53">
        <f t="shared" si="76"/>
        <v>5</v>
      </c>
      <c r="E47" s="53">
        <f t="shared" si="76"/>
        <v>11</v>
      </c>
      <c r="F47" s="17">
        <f t="shared" ref="F47" si="77">SUM(B47+D47)</f>
        <v>53</v>
      </c>
      <c r="G47" s="17">
        <f t="shared" ref="G47" si="78">SUM(C47+E47)</f>
        <v>194</v>
      </c>
      <c r="H47" s="53">
        <f>SUM(H33+H23)</f>
        <v>0</v>
      </c>
      <c r="I47" s="53">
        <f t="shared" ref="I47:Q47" si="79">SUM(I33+I23)</f>
        <v>0</v>
      </c>
      <c r="J47" s="53">
        <f t="shared" si="79"/>
        <v>0</v>
      </c>
      <c r="K47" s="53">
        <f t="shared" si="79"/>
        <v>0</v>
      </c>
      <c r="L47" s="53">
        <f t="shared" si="79"/>
        <v>0</v>
      </c>
      <c r="M47" s="53">
        <f t="shared" si="79"/>
        <v>0</v>
      </c>
      <c r="N47" s="53">
        <f t="shared" si="79"/>
        <v>0</v>
      </c>
      <c r="O47" s="53">
        <f t="shared" si="79"/>
        <v>0</v>
      </c>
      <c r="P47" s="53">
        <f t="shared" si="79"/>
        <v>0</v>
      </c>
      <c r="Q47" s="53">
        <f t="shared" si="79"/>
        <v>0</v>
      </c>
      <c r="R47" s="45">
        <f>SUM(R23)</f>
        <v>53</v>
      </c>
      <c r="S47" s="45">
        <f>SUM(S23)</f>
        <v>194</v>
      </c>
      <c r="T47" s="45">
        <f>SUM(T23)</f>
        <v>53</v>
      </c>
      <c r="U47" s="45">
        <f>SUM(U23)</f>
        <v>194</v>
      </c>
      <c r="V47" s="53">
        <f>SUM(V33+V23)</f>
        <v>35</v>
      </c>
      <c r="W47" s="53">
        <f>SUM(W33+W23)</f>
        <v>147</v>
      </c>
      <c r="X47" s="24">
        <f t="shared" ref="X47" si="80">AVERAGE(V47*100/T47)</f>
        <v>66.037735849056602</v>
      </c>
      <c r="Y47" s="24">
        <f t="shared" ref="Y47" si="81">AVERAGE(W47*100/U47)</f>
        <v>75.773195876288653</v>
      </c>
      <c r="Z47" s="24">
        <f t="shared" ref="Z47" si="82">AVERAGE(H47*100/F47)</f>
        <v>0</v>
      </c>
      <c r="AA47" s="24">
        <f t="shared" ref="AA47" si="83">AVERAGE(I47*100/G47)</f>
        <v>0</v>
      </c>
    </row>
    <row r="48" spans="1:27" ht="15.75" x14ac:dyDescent="0.25">
      <c r="A48" s="61" t="s">
        <v>22</v>
      </c>
      <c r="B48" s="53">
        <f t="shared" ref="B48:E49" si="84">SUM(B34+B24)</f>
        <v>46</v>
      </c>
      <c r="C48" s="53">
        <f t="shared" si="84"/>
        <v>192</v>
      </c>
      <c r="D48" s="53">
        <f t="shared" si="84"/>
        <v>0</v>
      </c>
      <c r="E48" s="53">
        <f t="shared" si="84"/>
        <v>0</v>
      </c>
      <c r="F48" s="27">
        <f t="shared" si="67"/>
        <v>46</v>
      </c>
      <c r="G48" s="27">
        <f t="shared" si="67"/>
        <v>192</v>
      </c>
      <c r="H48" s="53">
        <f>SUM(H34+H24)</f>
        <v>0</v>
      </c>
      <c r="I48" s="53">
        <f t="shared" ref="I48:Q48" si="85">SUM(I34+I24)</f>
        <v>0</v>
      </c>
      <c r="J48" s="53">
        <f t="shared" si="85"/>
        <v>0</v>
      </c>
      <c r="K48" s="53">
        <f t="shared" si="85"/>
        <v>0</v>
      </c>
      <c r="L48" s="53">
        <f t="shared" si="85"/>
        <v>0</v>
      </c>
      <c r="M48" s="53">
        <f t="shared" si="85"/>
        <v>0</v>
      </c>
      <c r="N48" s="53">
        <f t="shared" si="85"/>
        <v>0</v>
      </c>
      <c r="O48" s="53">
        <f t="shared" si="85"/>
        <v>0</v>
      </c>
      <c r="P48" s="53">
        <f t="shared" si="85"/>
        <v>0</v>
      </c>
      <c r="Q48" s="53">
        <f t="shared" si="85"/>
        <v>0</v>
      </c>
      <c r="R48" s="45">
        <f t="shared" ref="R48:U48" si="86">SUM(R24)</f>
        <v>46</v>
      </c>
      <c r="S48" s="45">
        <f t="shared" si="86"/>
        <v>192</v>
      </c>
      <c r="T48" s="45">
        <f t="shared" si="86"/>
        <v>46</v>
      </c>
      <c r="U48" s="45">
        <f t="shared" si="86"/>
        <v>192</v>
      </c>
      <c r="V48" s="53">
        <f t="shared" ref="V48:W49" si="87">SUM(V34+V24)</f>
        <v>32</v>
      </c>
      <c r="W48" s="53">
        <f t="shared" si="87"/>
        <v>154</v>
      </c>
      <c r="X48" s="29">
        <f t="shared" si="71"/>
        <v>69.565217391304344</v>
      </c>
      <c r="Y48" s="29">
        <f t="shared" si="71"/>
        <v>80.208333333333329</v>
      </c>
      <c r="Z48" s="29">
        <f t="shared" si="72"/>
        <v>0</v>
      </c>
      <c r="AA48" s="30">
        <f t="shared" si="72"/>
        <v>0</v>
      </c>
    </row>
    <row r="49" spans="1:27" ht="16.5" thickBot="1" x14ac:dyDescent="0.3">
      <c r="A49" s="62" t="s">
        <v>23</v>
      </c>
      <c r="B49" s="53">
        <f t="shared" si="84"/>
        <v>29</v>
      </c>
      <c r="C49" s="53">
        <f t="shared" si="84"/>
        <v>135</v>
      </c>
      <c r="D49" s="53">
        <f t="shared" si="84"/>
        <v>2</v>
      </c>
      <c r="E49" s="53">
        <f t="shared" si="84"/>
        <v>12</v>
      </c>
      <c r="F49" s="43">
        <f t="shared" si="67"/>
        <v>31</v>
      </c>
      <c r="G49" s="43">
        <f t="shared" si="67"/>
        <v>147</v>
      </c>
      <c r="H49" s="53">
        <f>SUM(H35+H25)</f>
        <v>3</v>
      </c>
      <c r="I49" s="53">
        <f t="shared" ref="I49:Q49" si="88">SUM(I35+I25)</f>
        <v>6</v>
      </c>
      <c r="J49" s="53">
        <f t="shared" si="88"/>
        <v>0</v>
      </c>
      <c r="K49" s="53">
        <f t="shared" si="88"/>
        <v>0</v>
      </c>
      <c r="L49" s="53">
        <f t="shared" si="88"/>
        <v>0</v>
      </c>
      <c r="M49" s="53">
        <f t="shared" si="88"/>
        <v>0</v>
      </c>
      <c r="N49" s="53">
        <f t="shared" si="88"/>
        <v>0</v>
      </c>
      <c r="O49" s="53">
        <f t="shared" si="88"/>
        <v>0</v>
      </c>
      <c r="P49" s="53">
        <f t="shared" si="88"/>
        <v>0</v>
      </c>
      <c r="Q49" s="53">
        <f t="shared" si="88"/>
        <v>0</v>
      </c>
      <c r="R49" s="45">
        <f t="shared" ref="R49:U49" si="89">SUM(R25)</f>
        <v>28</v>
      </c>
      <c r="S49" s="45">
        <f t="shared" si="89"/>
        <v>141</v>
      </c>
      <c r="T49" s="45">
        <f t="shared" si="89"/>
        <v>28</v>
      </c>
      <c r="U49" s="45">
        <f t="shared" si="89"/>
        <v>141</v>
      </c>
      <c r="V49" s="53">
        <f t="shared" si="87"/>
        <v>23</v>
      </c>
      <c r="W49" s="53">
        <f t="shared" si="87"/>
        <v>97</v>
      </c>
      <c r="X49" s="33">
        <f t="shared" si="71"/>
        <v>82.142857142857139</v>
      </c>
      <c r="Y49" s="33">
        <f t="shared" si="71"/>
        <v>68.794326241134755</v>
      </c>
      <c r="Z49" s="33">
        <f t="shared" si="72"/>
        <v>9.67741935483871</v>
      </c>
      <c r="AA49" s="34">
        <f t="shared" si="72"/>
        <v>4.0816326530612246</v>
      </c>
    </row>
    <row r="50" spans="1:27" ht="17.25" customHeight="1" thickBot="1" x14ac:dyDescent="0.3">
      <c r="A50" s="35" t="s">
        <v>24</v>
      </c>
      <c r="B50" s="19">
        <f>SUM(B47:B49)</f>
        <v>123</v>
      </c>
      <c r="C50" s="19">
        <f t="shared" ref="C50:E50" si="90">SUM(C47:C49)</f>
        <v>510</v>
      </c>
      <c r="D50" s="19">
        <f t="shared" si="90"/>
        <v>7</v>
      </c>
      <c r="E50" s="19">
        <f t="shared" si="90"/>
        <v>23</v>
      </c>
      <c r="F50" s="19">
        <f t="shared" si="67"/>
        <v>130</v>
      </c>
      <c r="G50" s="19">
        <f t="shared" si="67"/>
        <v>533</v>
      </c>
      <c r="H50" s="19">
        <f>SUM(H47:H49)</f>
        <v>3</v>
      </c>
      <c r="I50" s="19">
        <f t="shared" ref="I50:Q50" si="91">SUM(I47:I49)</f>
        <v>6</v>
      </c>
      <c r="J50" s="19">
        <f t="shared" si="91"/>
        <v>0</v>
      </c>
      <c r="K50" s="19">
        <f t="shared" si="91"/>
        <v>0</v>
      </c>
      <c r="L50" s="19">
        <f t="shared" si="91"/>
        <v>0</v>
      </c>
      <c r="M50" s="19">
        <f t="shared" si="91"/>
        <v>0</v>
      </c>
      <c r="N50" s="19">
        <f t="shared" si="91"/>
        <v>0</v>
      </c>
      <c r="O50" s="19">
        <f t="shared" si="91"/>
        <v>0</v>
      </c>
      <c r="P50" s="19">
        <f t="shared" si="91"/>
        <v>0</v>
      </c>
      <c r="Q50" s="19">
        <f t="shared" si="91"/>
        <v>0</v>
      </c>
      <c r="R50" s="19">
        <f t="shared" si="69"/>
        <v>127</v>
      </c>
      <c r="S50" s="19">
        <f t="shared" si="69"/>
        <v>527</v>
      </c>
      <c r="T50" s="19">
        <f t="shared" si="70"/>
        <v>127</v>
      </c>
      <c r="U50" s="19">
        <f t="shared" si="70"/>
        <v>527</v>
      </c>
      <c r="V50" s="19">
        <f>SUM(V48:V49)</f>
        <v>55</v>
      </c>
      <c r="W50" s="19">
        <f>SUM(W48:W49)</f>
        <v>251</v>
      </c>
      <c r="X50" s="21">
        <f t="shared" si="71"/>
        <v>43.30708661417323</v>
      </c>
      <c r="Y50" s="21">
        <f t="shared" si="71"/>
        <v>47.628083491461098</v>
      </c>
      <c r="Z50" s="21">
        <f t="shared" si="72"/>
        <v>2.3076923076923075</v>
      </c>
      <c r="AA50" s="37">
        <f t="shared" si="72"/>
        <v>1.125703564727955</v>
      </c>
    </row>
    <row r="51" spans="1:27" ht="32.25" thickBot="1" x14ac:dyDescent="0.3">
      <c r="A51" s="38" t="s">
        <v>28</v>
      </c>
      <c r="B51" s="39">
        <f>SUM(B50+B46+B41)</f>
        <v>426</v>
      </c>
      <c r="C51" s="39">
        <f t="shared" ref="C51:F51" si="92">SUM(C50+C46+C41)</f>
        <v>1469</v>
      </c>
      <c r="D51" s="39">
        <f t="shared" si="92"/>
        <v>28</v>
      </c>
      <c r="E51" s="39">
        <f t="shared" si="92"/>
        <v>53</v>
      </c>
      <c r="F51" s="39">
        <f t="shared" si="92"/>
        <v>454</v>
      </c>
      <c r="G51" s="39">
        <f t="shared" ref="G51" si="93">SUM(G50+G46+G41)</f>
        <v>1522</v>
      </c>
      <c r="H51" s="39">
        <f t="shared" ref="H51" si="94">SUM(H50+H46+H41)</f>
        <v>3</v>
      </c>
      <c r="I51" s="39">
        <f t="shared" ref="I51:J51" si="95">SUM(I50+I46+I41)</f>
        <v>6</v>
      </c>
      <c r="J51" s="39">
        <f t="shared" si="95"/>
        <v>0</v>
      </c>
      <c r="K51" s="39">
        <f t="shared" ref="K51" si="96">SUM(K50+K46+K41)</f>
        <v>0</v>
      </c>
      <c r="L51" s="39">
        <f t="shared" ref="L51" si="97">SUM(L50+L46+L41)</f>
        <v>0</v>
      </c>
      <c r="M51" s="39">
        <f t="shared" ref="M51:N51" si="98">SUM(M50+M46+M41)</f>
        <v>0</v>
      </c>
      <c r="N51" s="39">
        <f t="shared" si="98"/>
        <v>0</v>
      </c>
      <c r="O51" s="39">
        <f t="shared" ref="O51" si="99">SUM(O50+O46+O41)</f>
        <v>0</v>
      </c>
      <c r="P51" s="39">
        <f t="shared" ref="P51" si="100">SUM(P50+P46+P41)</f>
        <v>0</v>
      </c>
      <c r="Q51" s="39">
        <f t="shared" ref="Q51" si="101">SUM(Q50+Q46+Q41)</f>
        <v>0</v>
      </c>
      <c r="R51" s="39">
        <f t="shared" si="69"/>
        <v>451</v>
      </c>
      <c r="S51" s="39">
        <f t="shared" si="69"/>
        <v>1516</v>
      </c>
      <c r="T51" s="39">
        <f t="shared" si="70"/>
        <v>451</v>
      </c>
      <c r="U51" s="39">
        <f t="shared" si="70"/>
        <v>1516</v>
      </c>
      <c r="V51" s="39">
        <f>SUM(V50+V46+V41)</f>
        <v>345</v>
      </c>
      <c r="W51" s="39">
        <f>SUM(W50+W46+W41)</f>
        <v>1136</v>
      </c>
      <c r="X51" s="40">
        <f>SUM(V51/T51*100)</f>
        <v>76.49667405764967</v>
      </c>
      <c r="Y51" s="40">
        <f>SUM(W51/U51*100)</f>
        <v>74.934036939313984</v>
      </c>
      <c r="Z51" s="40">
        <f t="shared" si="72"/>
        <v>0.66079295154185025</v>
      </c>
      <c r="AA51" s="41">
        <f t="shared" si="72"/>
        <v>0.39421813403416556</v>
      </c>
    </row>
    <row r="52" spans="1:27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.75" x14ac:dyDescent="0.25">
      <c r="C54" s="66"/>
      <c r="D54" s="66"/>
      <c r="L54" s="2" t="s">
        <v>37</v>
      </c>
    </row>
    <row r="55" spans="1:27" ht="18.75" x14ac:dyDescent="0.25">
      <c r="C55" s="66"/>
      <c r="D55" s="66"/>
      <c r="L55" s="65" t="s">
        <v>38</v>
      </c>
      <c r="M55" s="65"/>
      <c r="N55" s="65"/>
      <c r="O55" s="65"/>
    </row>
    <row r="56" spans="1:27" ht="18.75" x14ac:dyDescent="0.25">
      <c r="C56" s="63"/>
      <c r="D56" s="63"/>
      <c r="L56" s="64"/>
      <c r="M56" s="64"/>
      <c r="N56" s="64"/>
      <c r="O56" s="64"/>
    </row>
    <row r="57" spans="1:27" x14ac:dyDescent="0.25">
      <c r="C57" s="67"/>
      <c r="D57" s="67"/>
    </row>
    <row r="58" spans="1:27" x14ac:dyDescent="0.25">
      <c r="C58" s="65"/>
      <c r="D58" s="65"/>
      <c r="L58" s="65"/>
      <c r="M58" s="65"/>
      <c r="N58" s="65"/>
      <c r="O58" s="65"/>
    </row>
    <row r="59" spans="1:27" x14ac:dyDescent="0.25">
      <c r="L59" s="65"/>
      <c r="M59" s="65"/>
      <c r="N59" s="65"/>
      <c r="O59" s="65"/>
    </row>
  </sheetData>
  <mergeCells count="31">
    <mergeCell ref="A28:AA28"/>
    <mergeCell ref="A38:AA38"/>
    <mergeCell ref="A42:AA42"/>
    <mergeCell ref="A18:AA18"/>
    <mergeCell ref="A8:AA8"/>
    <mergeCell ref="A9:AA9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2:K6"/>
    <mergeCell ref="A7:AA7"/>
    <mergeCell ref="A12:AA12"/>
    <mergeCell ref="A14:AA15"/>
    <mergeCell ref="A16:A17"/>
    <mergeCell ref="B16:C16"/>
    <mergeCell ref="D16:E16"/>
    <mergeCell ref="F16:G16"/>
    <mergeCell ref="H16:I16"/>
    <mergeCell ref="L55:O55"/>
    <mergeCell ref="L58:O58"/>
    <mergeCell ref="L59:O59"/>
    <mergeCell ref="C54:D54"/>
    <mergeCell ref="C57:D57"/>
    <mergeCell ref="C58:D58"/>
    <mergeCell ref="C55:D55"/>
  </mergeCells>
  <pageMargins left="0.7" right="0.7" top="0.75" bottom="0.75" header="0.3" footer="0.3"/>
  <pageSetup paperSize="9" scale="10" orientation="landscape" r:id="rId1"/>
  <rowBreaks count="1" manualBreakCount="1">
    <brk id="51" max="2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Aprovet. Pedag. I Trim -  2026</vt:lpstr>
      <vt:lpstr>'Aprovet. Pedag. I Trim -  2026'!Área_de_Impressão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CNECE08</dc:creator>
  <cp:lastModifiedBy>SABADO</cp:lastModifiedBy>
  <cp:lastPrinted>2009-01-01T16:15:31Z</cp:lastPrinted>
  <dcterms:created xsi:type="dcterms:W3CDTF">2021-12-16T12:51:18Z</dcterms:created>
  <dcterms:modified xsi:type="dcterms:W3CDTF">2026-09-04T13:15:04Z</dcterms:modified>
</cp:coreProperties>
</file>