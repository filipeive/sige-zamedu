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1"/>
  <workbookPr defaultThemeVersion="124226"/>
  <xr:revisionPtr revIDLastSave="0" documentId="8_{ACEC0F89-4825-4490-AF6B-DD7C387321BD}" xr6:coauthVersionLast="47" xr6:coauthVersionMax="47" xr10:uidLastSave="{00000000-0000-0000-0000-000000000000}"/>
  <bookViews>
    <workbookView xWindow="-105" yWindow="-105" windowWidth="15600" windowHeight="10305" xr2:uid="{00000000-000D-0000-FFFF-FFFF00000000}"/>
  </bookViews>
  <sheets>
    <sheet name="Aprovet. Pedag. EB - FINAL 2025" sheetId="1" r:id="rId1"/>
    <sheet name="RESUMO EB 2025" sheetId="2" r:id="rId2"/>
  </sheets>
  <definedNames>
    <definedName name="_xlnm.Print_Area" localSheetId="0">'Aprovet. Pedag. EB - FINAL 2025'!$A$1:$AA$36</definedName>
    <definedName name="_xlnm.Print_Area" localSheetId="1">'RESUMO EB 2025'!$A$1:$AC$153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7" i="1" l="1"/>
  <c r="X28" i="1"/>
  <c r="V28" i="1"/>
  <c r="W28" i="1"/>
  <c r="U28" i="1"/>
  <c r="T28" i="1"/>
  <c r="S28" i="1"/>
  <c r="R28" i="1"/>
  <c r="L28" i="1"/>
  <c r="M28" i="1"/>
  <c r="N28" i="1"/>
  <c r="O28" i="1"/>
  <c r="P28" i="1"/>
  <c r="Q28" i="1"/>
  <c r="H28" i="1"/>
  <c r="I28" i="1"/>
  <c r="J28" i="1"/>
  <c r="K28" i="1"/>
  <c r="C28" i="1"/>
  <c r="G28" i="1"/>
  <c r="G27" i="1"/>
  <c r="F27" i="1"/>
  <c r="F28" i="1"/>
  <c r="B28" i="1"/>
  <c r="B27" i="1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C95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AB82" i="2"/>
  <c r="AA82" i="2"/>
  <c r="Z82" i="2"/>
  <c r="Y82" i="2"/>
  <c r="X82" i="2"/>
  <c r="X104" i="2" s="1"/>
  <c r="W82" i="2"/>
  <c r="W104" i="2" s="1"/>
  <c r="V82" i="2"/>
  <c r="V104" i="2" s="1"/>
  <c r="U82" i="2"/>
  <c r="U104" i="2" s="1"/>
  <c r="T82" i="2"/>
  <c r="T104" i="2" s="1"/>
  <c r="S82" i="2"/>
  <c r="S104" i="2" s="1"/>
  <c r="R82" i="2"/>
  <c r="R104" i="2" s="1"/>
  <c r="Q82" i="2"/>
  <c r="Q104" i="2" s="1"/>
  <c r="P82" i="2"/>
  <c r="P104" i="2" s="1"/>
  <c r="O82" i="2"/>
  <c r="O104" i="2" s="1"/>
  <c r="N82" i="2"/>
  <c r="N104" i="2" s="1"/>
  <c r="M82" i="2"/>
  <c r="M104" i="2" s="1"/>
  <c r="L82" i="2"/>
  <c r="L104" i="2" s="1"/>
  <c r="K82" i="2"/>
  <c r="K104" i="2" s="1"/>
  <c r="J82" i="2"/>
  <c r="J104" i="2" s="1"/>
  <c r="I82" i="2"/>
  <c r="I104" i="2" s="1"/>
  <c r="H82" i="2"/>
  <c r="H104" i="2" s="1"/>
  <c r="G82" i="2"/>
  <c r="G104" i="2" s="1"/>
  <c r="F82" i="2"/>
  <c r="F104" i="2" s="1"/>
  <c r="E82" i="2"/>
  <c r="E104" i="2" s="1"/>
  <c r="D82" i="2"/>
  <c r="D104" i="2" s="1"/>
  <c r="C82" i="2"/>
  <c r="C104" i="2" s="1"/>
  <c r="X49" i="2"/>
  <c r="W49" i="2"/>
  <c r="R49" i="2"/>
  <c r="Q49" i="2"/>
  <c r="P49" i="2"/>
  <c r="O49" i="2"/>
  <c r="N49" i="2"/>
  <c r="M49" i="2"/>
  <c r="L49" i="2"/>
  <c r="K49" i="2"/>
  <c r="J49" i="2"/>
  <c r="I49" i="2"/>
  <c r="F49" i="2"/>
  <c r="E49" i="2"/>
  <c r="D49" i="2"/>
  <c r="H49" i="2" s="1"/>
  <c r="T49" i="2" s="1"/>
  <c r="V49" i="2" s="1"/>
  <c r="C49" i="2"/>
  <c r="G49" i="2" s="1"/>
  <c r="S49" i="2" s="1"/>
  <c r="U49" i="2" s="1"/>
  <c r="H48" i="2"/>
  <c r="G48" i="2"/>
  <c r="H47" i="2"/>
  <c r="G47" i="2"/>
  <c r="H46" i="2"/>
  <c r="G46" i="2"/>
  <c r="X43" i="2"/>
  <c r="W43" i="2"/>
  <c r="R43" i="2"/>
  <c r="Q43" i="2"/>
  <c r="P43" i="2"/>
  <c r="O43" i="2"/>
  <c r="N43" i="2"/>
  <c r="M43" i="2"/>
  <c r="L43" i="2"/>
  <c r="K43" i="2"/>
  <c r="J43" i="2"/>
  <c r="I43" i="2"/>
  <c r="F43" i="2"/>
  <c r="E43" i="2"/>
  <c r="D43" i="2"/>
  <c r="C43" i="2"/>
  <c r="X42" i="2"/>
  <c r="W42" i="2"/>
  <c r="R42" i="2"/>
  <c r="Q42" i="2"/>
  <c r="P42" i="2"/>
  <c r="O42" i="2"/>
  <c r="N42" i="2"/>
  <c r="M42" i="2"/>
  <c r="L42" i="2"/>
  <c r="K42" i="2"/>
  <c r="J42" i="2"/>
  <c r="I42" i="2"/>
  <c r="F42" i="2"/>
  <c r="E42" i="2"/>
  <c r="D42" i="2"/>
  <c r="C42" i="2"/>
  <c r="X41" i="2"/>
  <c r="W41" i="2"/>
  <c r="R41" i="2"/>
  <c r="Q41" i="2"/>
  <c r="P41" i="2"/>
  <c r="O41" i="2"/>
  <c r="N41" i="2"/>
  <c r="M41" i="2"/>
  <c r="L41" i="2"/>
  <c r="K41" i="2"/>
  <c r="J41" i="2"/>
  <c r="I41" i="2"/>
  <c r="F41" i="2"/>
  <c r="E41" i="2"/>
  <c r="D41" i="2"/>
  <c r="C41" i="2"/>
  <c r="X27" i="2"/>
  <c r="W27" i="2"/>
  <c r="V27" i="2"/>
  <c r="U27" i="2"/>
  <c r="T27" i="2"/>
  <c r="S27" i="2"/>
  <c r="R27" i="2"/>
  <c r="R68" i="2" s="1"/>
  <c r="Q27" i="2"/>
  <c r="Q68" i="2" s="1"/>
  <c r="P27" i="2"/>
  <c r="P68" i="2" s="1"/>
  <c r="O27" i="2"/>
  <c r="O68" i="2" s="1"/>
  <c r="N27" i="2"/>
  <c r="N68" i="2" s="1"/>
  <c r="M27" i="2"/>
  <c r="M68" i="2" s="1"/>
  <c r="L27" i="2"/>
  <c r="L68" i="2" s="1"/>
  <c r="K27" i="2"/>
  <c r="K68" i="2" s="1"/>
  <c r="J27" i="2"/>
  <c r="I27" i="2"/>
  <c r="H27" i="2"/>
  <c r="G27" i="2"/>
  <c r="F27" i="2"/>
  <c r="F68" i="2" s="1"/>
  <c r="E27" i="2"/>
  <c r="E68" i="2" s="1"/>
  <c r="D27" i="2"/>
  <c r="D68" i="2" s="1"/>
  <c r="C27" i="2"/>
  <c r="C68" i="2" s="1"/>
  <c r="X26" i="2"/>
  <c r="W26" i="2"/>
  <c r="V26" i="2"/>
  <c r="U26" i="2"/>
  <c r="T26" i="2"/>
  <c r="S26" i="2"/>
  <c r="R26" i="2"/>
  <c r="R67" i="2" s="1"/>
  <c r="Q26" i="2"/>
  <c r="Q67" i="2" s="1"/>
  <c r="P26" i="2"/>
  <c r="P67" i="2" s="1"/>
  <c r="O26" i="2"/>
  <c r="O67" i="2" s="1"/>
  <c r="N26" i="2"/>
  <c r="N67" i="2" s="1"/>
  <c r="M26" i="2"/>
  <c r="M67" i="2" s="1"/>
  <c r="L26" i="2"/>
  <c r="L67" i="2" s="1"/>
  <c r="K26" i="2"/>
  <c r="K67" i="2" s="1"/>
  <c r="J26" i="2"/>
  <c r="I26" i="2"/>
  <c r="H26" i="2"/>
  <c r="G26" i="2"/>
  <c r="F26" i="2"/>
  <c r="F67" i="2" s="1"/>
  <c r="E26" i="2"/>
  <c r="E67" i="2" s="1"/>
  <c r="D26" i="2"/>
  <c r="D67" i="2" s="1"/>
  <c r="C26" i="2"/>
  <c r="C67" i="2" s="1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X22" i="2"/>
  <c r="W22" i="2"/>
  <c r="R22" i="2"/>
  <c r="Q22" i="2"/>
  <c r="P22" i="2"/>
  <c r="O22" i="2"/>
  <c r="N22" i="2"/>
  <c r="M22" i="2"/>
  <c r="L22" i="2"/>
  <c r="K22" i="2"/>
  <c r="J22" i="2"/>
  <c r="I22" i="2"/>
  <c r="F22" i="2"/>
  <c r="E22" i="2"/>
  <c r="D22" i="2"/>
  <c r="H22" i="2" s="1"/>
  <c r="T22" i="2" s="1"/>
  <c r="V22" i="2" s="1"/>
  <c r="C22" i="2"/>
  <c r="G22" i="2" s="1"/>
  <c r="S22" i="2" s="1"/>
  <c r="U22" i="2" s="1"/>
  <c r="X21" i="2"/>
  <c r="W21" i="2"/>
  <c r="R21" i="2"/>
  <c r="Q21" i="2"/>
  <c r="P21" i="2"/>
  <c r="O21" i="2"/>
  <c r="N21" i="2"/>
  <c r="M21" i="2"/>
  <c r="L21" i="2"/>
  <c r="K21" i="2"/>
  <c r="J21" i="2"/>
  <c r="I21" i="2"/>
  <c r="F21" i="2"/>
  <c r="E21" i="2"/>
  <c r="D21" i="2"/>
  <c r="H21" i="2" s="1"/>
  <c r="T21" i="2" s="1"/>
  <c r="V21" i="2" s="1"/>
  <c r="C21" i="2"/>
  <c r="G21" i="2" s="1"/>
  <c r="S21" i="2" s="1"/>
  <c r="U21" i="2" s="1"/>
  <c r="X20" i="2"/>
  <c r="W20" i="2"/>
  <c r="V20" i="2"/>
  <c r="U20" i="2"/>
  <c r="T20" i="2"/>
  <c r="S20" i="2"/>
  <c r="R20" i="2"/>
  <c r="R23" i="2" s="1"/>
  <c r="Q20" i="2"/>
  <c r="Q23" i="2" s="1"/>
  <c r="P20" i="2"/>
  <c r="P23" i="2" s="1"/>
  <c r="O20" i="2"/>
  <c r="O23" i="2" s="1"/>
  <c r="N20" i="2"/>
  <c r="N23" i="2" s="1"/>
  <c r="M20" i="2"/>
  <c r="M23" i="2" s="1"/>
  <c r="L20" i="2"/>
  <c r="L23" i="2" s="1"/>
  <c r="K20" i="2"/>
  <c r="K23" i="2" s="1"/>
  <c r="J20" i="2"/>
  <c r="I20" i="2"/>
  <c r="H20" i="2"/>
  <c r="G20" i="2"/>
  <c r="F20" i="2"/>
  <c r="F23" i="2" s="1"/>
  <c r="E20" i="2"/>
  <c r="E23" i="2" s="1"/>
  <c r="D20" i="2"/>
  <c r="D23" i="2" s="1"/>
  <c r="H23" i="2" s="1"/>
  <c r="C20" i="2"/>
  <c r="C23" i="2" s="1"/>
  <c r="G23" i="2" s="1"/>
  <c r="W27" i="1"/>
  <c r="V27" i="1"/>
  <c r="Q27" i="1"/>
  <c r="P27" i="1"/>
  <c r="O27" i="1"/>
  <c r="N27" i="1"/>
  <c r="M27" i="1"/>
  <c r="L27" i="1"/>
  <c r="K27" i="1"/>
  <c r="J27" i="1"/>
  <c r="I27" i="1"/>
  <c r="H27" i="1"/>
  <c r="E27" i="1"/>
  <c r="E28" i="1" s="1"/>
  <c r="D27" i="1"/>
  <c r="D28" i="1" s="1"/>
  <c r="C27" i="1"/>
  <c r="G26" i="1"/>
  <c r="F26" i="1"/>
  <c r="G25" i="1"/>
  <c r="F25" i="1"/>
  <c r="G24" i="1"/>
  <c r="F24" i="1"/>
  <c r="W23" i="1"/>
  <c r="V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A22" i="1"/>
  <c r="Z22" i="1"/>
  <c r="S22" i="1"/>
  <c r="U22" i="1" s="1"/>
  <c r="Y22" i="1" s="1"/>
  <c r="R22" i="1"/>
  <c r="T22" i="1" s="1"/>
  <c r="X22" i="1" s="1"/>
  <c r="AA21" i="1"/>
  <c r="Z21" i="1"/>
  <c r="S21" i="1"/>
  <c r="U21" i="1" s="1"/>
  <c r="Y21" i="1" s="1"/>
  <c r="R21" i="1"/>
  <c r="T21" i="1" s="1"/>
  <c r="X21" i="1" s="1"/>
  <c r="AA20" i="1"/>
  <c r="Z20" i="1"/>
  <c r="S20" i="1"/>
  <c r="R20" i="1"/>
  <c r="R23" i="1" l="1"/>
  <c r="T20" i="1"/>
  <c r="S23" i="1"/>
  <c r="U20" i="1"/>
  <c r="Z23" i="1"/>
  <c r="AA23" i="1"/>
  <c r="Z24" i="1"/>
  <c r="R24" i="1"/>
  <c r="AA24" i="1"/>
  <c r="S24" i="1"/>
  <c r="Z25" i="1"/>
  <c r="R25" i="1"/>
  <c r="T25" i="1" s="1"/>
  <c r="X25" i="1" s="1"/>
  <c r="AA25" i="1"/>
  <c r="S25" i="1"/>
  <c r="U25" i="1" s="1"/>
  <c r="Y25" i="1" s="1"/>
  <c r="Z26" i="1"/>
  <c r="R26" i="1"/>
  <c r="T26" i="1" s="1"/>
  <c r="X26" i="1" s="1"/>
  <c r="AA26" i="1"/>
  <c r="S26" i="1"/>
  <c r="U26" i="1" s="1"/>
  <c r="Y26" i="1" s="1"/>
  <c r="Z27" i="1"/>
  <c r="Z28" i="1" s="1"/>
  <c r="AA27" i="1"/>
  <c r="AA28" i="1" s="1"/>
  <c r="I23" i="2"/>
  <c r="AA20" i="2"/>
  <c r="J23" i="2"/>
  <c r="AB20" i="2"/>
  <c r="W23" i="2"/>
  <c r="Y20" i="2"/>
  <c r="X23" i="2"/>
  <c r="Z20" i="2"/>
  <c r="AA21" i="2"/>
  <c r="AB21" i="2"/>
  <c r="Y21" i="2"/>
  <c r="Z21" i="2"/>
  <c r="AA22" i="2"/>
  <c r="AB22" i="2"/>
  <c r="Y22" i="2"/>
  <c r="Z22" i="2"/>
  <c r="C66" i="2"/>
  <c r="C69" i="2" s="1"/>
  <c r="C28" i="2"/>
  <c r="D66" i="2"/>
  <c r="D69" i="2" s="1"/>
  <c r="D28" i="2"/>
  <c r="E66" i="2"/>
  <c r="E69" i="2" s="1"/>
  <c r="E28" i="2"/>
  <c r="E29" i="2" s="1"/>
  <c r="F66" i="2"/>
  <c r="F69" i="2" s="1"/>
  <c r="F28" i="2"/>
  <c r="F29" i="2" s="1"/>
  <c r="I66" i="2"/>
  <c r="I28" i="2"/>
  <c r="AA25" i="2"/>
  <c r="J66" i="2"/>
  <c r="J28" i="2"/>
  <c r="AB25" i="2"/>
  <c r="K66" i="2"/>
  <c r="K69" i="2" s="1"/>
  <c r="K28" i="2"/>
  <c r="K29" i="2" s="1"/>
  <c r="L66" i="2"/>
  <c r="L69" i="2" s="1"/>
  <c r="L28" i="2"/>
  <c r="L29" i="2" s="1"/>
  <c r="M66" i="2"/>
  <c r="M69" i="2" s="1"/>
  <c r="M28" i="2"/>
  <c r="M29" i="2" s="1"/>
  <c r="N66" i="2"/>
  <c r="N69" i="2" s="1"/>
  <c r="N28" i="2"/>
  <c r="N29" i="2" s="1"/>
  <c r="O66" i="2"/>
  <c r="O69" i="2" s="1"/>
  <c r="O28" i="2"/>
  <c r="O29" i="2" s="1"/>
  <c r="P66" i="2"/>
  <c r="P69" i="2" s="1"/>
  <c r="P28" i="2"/>
  <c r="P29" i="2" s="1"/>
  <c r="Q66" i="2"/>
  <c r="Q69" i="2" s="1"/>
  <c r="Q28" i="2"/>
  <c r="Q29" i="2" s="1"/>
  <c r="R66" i="2"/>
  <c r="R69" i="2" s="1"/>
  <c r="R28" i="2"/>
  <c r="R29" i="2" s="1"/>
  <c r="W66" i="2"/>
  <c r="W28" i="2"/>
  <c r="Y25" i="2"/>
  <c r="X66" i="2"/>
  <c r="X28" i="2"/>
  <c r="Z25" i="2"/>
  <c r="I67" i="2"/>
  <c r="AA26" i="2"/>
  <c r="J67" i="2"/>
  <c r="AB26" i="2"/>
  <c r="W67" i="2"/>
  <c r="Y26" i="2"/>
  <c r="X67" i="2"/>
  <c r="Z26" i="2"/>
  <c r="I68" i="2"/>
  <c r="AA27" i="2"/>
  <c r="J68" i="2"/>
  <c r="AB27" i="2"/>
  <c r="W68" i="2"/>
  <c r="Y27" i="2"/>
  <c r="X68" i="2"/>
  <c r="Z27" i="2"/>
  <c r="C61" i="2"/>
  <c r="C64" i="2" s="1"/>
  <c r="C44" i="2"/>
  <c r="G41" i="2"/>
  <c r="D61" i="2"/>
  <c r="D64" i="2" s="1"/>
  <c r="D44" i="2"/>
  <c r="H41" i="2"/>
  <c r="E61" i="2"/>
  <c r="E64" i="2" s="1"/>
  <c r="E70" i="2" s="1"/>
  <c r="E44" i="2"/>
  <c r="E50" i="2" s="1"/>
  <c r="F61" i="2"/>
  <c r="F64" i="2" s="1"/>
  <c r="F70" i="2" s="1"/>
  <c r="F44" i="2"/>
  <c r="F50" i="2" s="1"/>
  <c r="I61" i="2"/>
  <c r="I44" i="2"/>
  <c r="AA41" i="2"/>
  <c r="J61" i="2"/>
  <c r="J44" i="2"/>
  <c r="AB41" i="2"/>
  <c r="K61" i="2"/>
  <c r="K64" i="2" s="1"/>
  <c r="K70" i="2" s="1"/>
  <c r="K44" i="2"/>
  <c r="K50" i="2" s="1"/>
  <c r="L61" i="2"/>
  <c r="L64" i="2" s="1"/>
  <c r="L70" i="2" s="1"/>
  <c r="L44" i="2"/>
  <c r="L50" i="2" s="1"/>
  <c r="M61" i="2"/>
  <c r="M64" i="2" s="1"/>
  <c r="M70" i="2" s="1"/>
  <c r="M44" i="2"/>
  <c r="M50" i="2" s="1"/>
  <c r="N61" i="2"/>
  <c r="N64" i="2" s="1"/>
  <c r="N70" i="2" s="1"/>
  <c r="N44" i="2"/>
  <c r="N50" i="2" s="1"/>
  <c r="O61" i="2"/>
  <c r="O64" i="2" s="1"/>
  <c r="O70" i="2" s="1"/>
  <c r="O44" i="2"/>
  <c r="O50" i="2" s="1"/>
  <c r="P61" i="2"/>
  <c r="P64" i="2" s="1"/>
  <c r="P70" i="2" s="1"/>
  <c r="P44" i="2"/>
  <c r="P50" i="2" s="1"/>
  <c r="Q61" i="2"/>
  <c r="Q64" i="2" s="1"/>
  <c r="Q70" i="2" s="1"/>
  <c r="Q44" i="2"/>
  <c r="Q50" i="2" s="1"/>
  <c r="R61" i="2"/>
  <c r="R64" i="2" s="1"/>
  <c r="R70" i="2" s="1"/>
  <c r="R44" i="2"/>
  <c r="R50" i="2" s="1"/>
  <c r="W61" i="2"/>
  <c r="W44" i="2"/>
  <c r="X61" i="2"/>
  <c r="X44" i="2"/>
  <c r="C62" i="2"/>
  <c r="G42" i="2"/>
  <c r="D62" i="2"/>
  <c r="H42" i="2"/>
  <c r="E62" i="2"/>
  <c r="F62" i="2"/>
  <c r="I62" i="2"/>
  <c r="AA42" i="2"/>
  <c r="J62" i="2"/>
  <c r="AB42" i="2"/>
  <c r="K62" i="2"/>
  <c r="L62" i="2"/>
  <c r="M62" i="2"/>
  <c r="N62" i="2"/>
  <c r="O62" i="2"/>
  <c r="P62" i="2"/>
  <c r="Q62" i="2"/>
  <c r="R62" i="2"/>
  <c r="W62" i="2"/>
  <c r="X62" i="2"/>
  <c r="C63" i="2"/>
  <c r="G43" i="2"/>
  <c r="D63" i="2"/>
  <c r="H43" i="2"/>
  <c r="E63" i="2"/>
  <c r="F63" i="2"/>
  <c r="I63" i="2"/>
  <c r="AA43" i="2"/>
  <c r="J63" i="2"/>
  <c r="AB43" i="2"/>
  <c r="K63" i="2"/>
  <c r="L63" i="2"/>
  <c r="M63" i="2"/>
  <c r="N63" i="2"/>
  <c r="O63" i="2"/>
  <c r="P63" i="2"/>
  <c r="Q63" i="2"/>
  <c r="R63" i="2"/>
  <c r="W63" i="2"/>
  <c r="X63" i="2"/>
  <c r="G66" i="2"/>
  <c r="AA46" i="2"/>
  <c r="S46" i="2"/>
  <c r="H66" i="2"/>
  <c r="AB46" i="2"/>
  <c r="T46" i="2"/>
  <c r="G67" i="2"/>
  <c r="AA47" i="2"/>
  <c r="S47" i="2"/>
  <c r="H67" i="2"/>
  <c r="AB47" i="2"/>
  <c r="T47" i="2"/>
  <c r="G68" i="2"/>
  <c r="AA48" i="2"/>
  <c r="S48" i="2"/>
  <c r="H68" i="2"/>
  <c r="AB48" i="2"/>
  <c r="T48" i="2"/>
  <c r="AA49" i="2"/>
  <c r="AB49" i="2"/>
  <c r="Y49" i="2"/>
  <c r="Z49" i="2"/>
  <c r="AA104" i="2"/>
  <c r="AB104" i="2"/>
  <c r="Y104" i="2"/>
  <c r="Z104" i="2"/>
  <c r="T68" i="2" l="1"/>
  <c r="V48" i="2"/>
  <c r="S68" i="2"/>
  <c r="U48" i="2"/>
  <c r="T67" i="2"/>
  <c r="V47" i="2"/>
  <c r="S67" i="2"/>
  <c r="U47" i="2"/>
  <c r="T66" i="2"/>
  <c r="V46" i="2"/>
  <c r="S66" i="2"/>
  <c r="U46" i="2"/>
  <c r="H63" i="2"/>
  <c r="AB63" i="2" s="1"/>
  <c r="T43" i="2"/>
  <c r="G63" i="2"/>
  <c r="AA63" i="2" s="1"/>
  <c r="S43" i="2"/>
  <c r="H62" i="2"/>
  <c r="AB62" i="2" s="1"/>
  <c r="T42" i="2"/>
  <c r="G62" i="2"/>
  <c r="AA62" i="2" s="1"/>
  <c r="S42" i="2"/>
  <c r="X50" i="2"/>
  <c r="X64" i="2"/>
  <c r="W50" i="2"/>
  <c r="W64" i="2"/>
  <c r="J50" i="2"/>
  <c r="J64" i="2"/>
  <c r="I50" i="2"/>
  <c r="I64" i="2"/>
  <c r="H61" i="2"/>
  <c r="AB61" i="2" s="1"/>
  <c r="T41" i="2"/>
  <c r="D50" i="2"/>
  <c r="H50" i="2" s="1"/>
  <c r="T50" i="2" s="1"/>
  <c r="V50" i="2" s="1"/>
  <c r="H44" i="2"/>
  <c r="D70" i="2"/>
  <c r="H70" i="2" s="1"/>
  <c r="H64" i="2"/>
  <c r="T64" i="2" s="1"/>
  <c r="V64" i="2" s="1"/>
  <c r="G61" i="2"/>
  <c r="AA61" i="2" s="1"/>
  <c r="S41" i="2"/>
  <c r="C50" i="2"/>
  <c r="G50" i="2" s="1"/>
  <c r="S50" i="2" s="1"/>
  <c r="U50" i="2" s="1"/>
  <c r="G44" i="2"/>
  <c r="C70" i="2"/>
  <c r="G70" i="2" s="1"/>
  <c r="G64" i="2"/>
  <c r="S64" i="2" s="1"/>
  <c r="U64" i="2" s="1"/>
  <c r="AB68" i="2"/>
  <c r="AA68" i="2"/>
  <c r="AB67" i="2"/>
  <c r="AA67" i="2"/>
  <c r="X29" i="2"/>
  <c r="X69" i="2"/>
  <c r="W29" i="2"/>
  <c r="W69" i="2"/>
  <c r="J29" i="2"/>
  <c r="J69" i="2"/>
  <c r="AB66" i="2"/>
  <c r="I29" i="2"/>
  <c r="I69" i="2"/>
  <c r="AA66" i="2"/>
  <c r="D29" i="2"/>
  <c r="H29" i="2" s="1"/>
  <c r="T29" i="2" s="1"/>
  <c r="V29" i="2" s="1"/>
  <c r="H28" i="2"/>
  <c r="H69" i="2"/>
  <c r="T69" i="2" s="1"/>
  <c r="V69" i="2" s="1"/>
  <c r="C29" i="2"/>
  <c r="G29" i="2" s="1"/>
  <c r="S29" i="2" s="1"/>
  <c r="U29" i="2" s="1"/>
  <c r="G28" i="2"/>
  <c r="G69" i="2"/>
  <c r="S69" i="2" s="1"/>
  <c r="U69" i="2" s="1"/>
  <c r="AB23" i="2"/>
  <c r="T23" i="2"/>
  <c r="V23" i="2" s="1"/>
  <c r="Z23" i="2" s="1"/>
  <c r="AA23" i="2"/>
  <c r="S23" i="2"/>
  <c r="U23" i="2" s="1"/>
  <c r="Y23" i="2" s="1"/>
  <c r="S27" i="1"/>
  <c r="U24" i="1"/>
  <c r="R27" i="1"/>
  <c r="T24" i="1"/>
  <c r="U23" i="1"/>
  <c r="Y23" i="1" s="1"/>
  <c r="Y20" i="1"/>
  <c r="T23" i="1"/>
  <c r="X23" i="1" s="1"/>
  <c r="X20" i="1"/>
  <c r="T27" i="1" l="1"/>
  <c r="X24" i="1"/>
  <c r="U27" i="1"/>
  <c r="Y27" i="1" s="1"/>
  <c r="Y28" i="1" s="1"/>
  <c r="Y24" i="1"/>
  <c r="S28" i="2"/>
  <c r="U28" i="2" s="1"/>
  <c r="Y28" i="2" s="1"/>
  <c r="AA28" i="2"/>
  <c r="T28" i="2"/>
  <c r="V28" i="2" s="1"/>
  <c r="Z28" i="2" s="1"/>
  <c r="AB28" i="2"/>
  <c r="AA69" i="2"/>
  <c r="AA29" i="2"/>
  <c r="AB69" i="2"/>
  <c r="AB29" i="2"/>
  <c r="Y69" i="2"/>
  <c r="Y29" i="2"/>
  <c r="Z69" i="2"/>
  <c r="Z29" i="2"/>
  <c r="S44" i="2"/>
  <c r="U44" i="2" s="1"/>
  <c r="Y44" i="2" s="1"/>
  <c r="AA44" i="2"/>
  <c r="S61" i="2"/>
  <c r="U41" i="2"/>
  <c r="T44" i="2"/>
  <c r="V44" i="2" s="1"/>
  <c r="Z44" i="2" s="1"/>
  <c r="AB44" i="2"/>
  <c r="T61" i="2"/>
  <c r="V41" i="2"/>
  <c r="I70" i="2"/>
  <c r="AA64" i="2"/>
  <c r="AA50" i="2"/>
  <c r="J70" i="2"/>
  <c r="AB64" i="2"/>
  <c r="AB50" i="2"/>
  <c r="W70" i="2"/>
  <c r="Y64" i="2"/>
  <c r="Y50" i="2"/>
  <c r="X70" i="2"/>
  <c r="Z64" i="2"/>
  <c r="Z50" i="2"/>
  <c r="S62" i="2"/>
  <c r="U42" i="2"/>
  <c r="T62" i="2"/>
  <c r="V42" i="2"/>
  <c r="S63" i="2"/>
  <c r="U43" i="2"/>
  <c r="T63" i="2"/>
  <c r="V43" i="2"/>
  <c r="U66" i="2"/>
  <c r="Y66" i="2" s="1"/>
  <c r="Y46" i="2"/>
  <c r="V66" i="2"/>
  <c r="Z66" i="2" s="1"/>
  <c r="Z46" i="2"/>
  <c r="U67" i="2"/>
  <c r="Y67" i="2" s="1"/>
  <c r="Y47" i="2"/>
  <c r="V67" i="2"/>
  <c r="Z67" i="2" s="1"/>
  <c r="Z47" i="2"/>
  <c r="U68" i="2"/>
  <c r="Y68" i="2" s="1"/>
  <c r="Y48" i="2"/>
  <c r="V68" i="2"/>
  <c r="Z68" i="2" s="1"/>
  <c r="Z48" i="2"/>
  <c r="V63" i="2" l="1"/>
  <c r="Z63" i="2" s="1"/>
  <c r="Z43" i="2"/>
  <c r="U63" i="2"/>
  <c r="Y63" i="2" s="1"/>
  <c r="Y43" i="2"/>
  <c r="V62" i="2"/>
  <c r="Z62" i="2" s="1"/>
  <c r="Z42" i="2"/>
  <c r="U62" i="2"/>
  <c r="Y62" i="2" s="1"/>
  <c r="Y42" i="2"/>
  <c r="AB70" i="2"/>
  <c r="T70" i="2"/>
  <c r="V70" i="2" s="1"/>
  <c r="Z70" i="2" s="1"/>
  <c r="AA70" i="2"/>
  <c r="S70" i="2"/>
  <c r="U70" i="2" s="1"/>
  <c r="Y70" i="2" s="1"/>
  <c r="V61" i="2"/>
  <c r="Z61" i="2" s="1"/>
  <c r="Z41" i="2"/>
  <c r="U61" i="2"/>
  <c r="Y61" i="2" s="1"/>
  <c r="Y41" i="2"/>
</calcChain>
</file>

<file path=xl/sharedStrings.xml><?xml version="1.0" encoding="utf-8"?>
<sst xmlns="http://schemas.openxmlformats.org/spreadsheetml/2006/main" count="283" uniqueCount="79">
  <si>
    <t>PRENCHER APENAS NOS ESPAÇOS EM BRANCO. AS CÉLULAS QUE APRESENTAM A COR CIZENTA TÊM FÓRMULAS PARA FACILITAR CÁLCULOS AUTOMÁTICOS.</t>
  </si>
  <si>
    <t>REPÚBLICA DE MOÇAMBIQUE</t>
  </si>
  <si>
    <t>PROVÍNCIA DA ZAMBÉZIA</t>
  </si>
  <si>
    <t>DISTRITO DE QUELIMANE</t>
  </si>
  <si>
    <r>
      <t>ESCOLAS B</t>
    </r>
    <r>
      <rPr>
        <b/>
        <sz val="36"/>
        <color rgb="FFFF0000"/>
        <rFont val="Calibri"/>
      </rPr>
      <t>Á</t>
    </r>
    <r>
      <rPr>
        <b/>
        <sz val="36"/>
        <color rgb="FFFF0000"/>
        <rFont val="Times New Roman"/>
      </rPr>
      <t>SICAS P</t>
    </r>
    <r>
      <rPr>
        <b/>
        <sz val="36"/>
        <color rgb="FFFF0000"/>
        <rFont val="Calibri"/>
      </rPr>
      <t>Ú</t>
    </r>
    <r>
      <rPr>
        <b/>
        <sz val="36"/>
        <color rgb="FFFF0000"/>
        <rFont val="Times New Roman"/>
      </rPr>
      <t>BLICAS</t>
    </r>
  </si>
  <si>
    <t xml:space="preserve">ESCOLA Primária Completa e Comunitária da Paz Namuinho-Bazar </t>
  </si>
  <si>
    <t>MAPA DE APROVEITAMENTO PEDAGÓGICO DO II TRIMESTRE DO ENSINO BASICO - 2026</t>
  </si>
  <si>
    <t>CLASSE</t>
  </si>
  <si>
    <t>N/ ENTRADAS</t>
  </si>
  <si>
    <t>TOTAL</t>
  </si>
  <si>
    <t>DESISTENTES</t>
  </si>
  <si>
    <t>TRANSF</t>
  </si>
  <si>
    <t>PPF/PDF</t>
  </si>
  <si>
    <t>ANULOU MATRÍCULA</t>
  </si>
  <si>
    <t>FALECIDO</t>
  </si>
  <si>
    <t>FIM DO ANO</t>
  </si>
  <si>
    <t>AVALIADOS</t>
  </si>
  <si>
    <t>TRANS/ APROVADOS</t>
  </si>
  <si>
    <t>% TRANS/ APROVADOS</t>
  </si>
  <si>
    <t>%DESISTENTE</t>
  </si>
  <si>
    <t>M</t>
  </si>
  <si>
    <t>HM</t>
  </si>
  <si>
    <t>CURSO DIURNO</t>
  </si>
  <si>
    <t>1ª</t>
  </si>
  <si>
    <t>2ª</t>
  </si>
  <si>
    <t>3ª</t>
  </si>
  <si>
    <t>1º Ciclo</t>
  </si>
  <si>
    <t>4ª</t>
  </si>
  <si>
    <t>5ª</t>
  </si>
  <si>
    <t>6ª</t>
  </si>
  <si>
    <t>2º Ciclo</t>
  </si>
  <si>
    <t>GERAL DA ESCOLA</t>
  </si>
  <si>
    <t xml:space="preserve">Quelimane, aos </t>
  </si>
  <si>
    <t>O DAE</t>
  </si>
  <si>
    <t xml:space="preserve">    </t>
  </si>
  <si>
    <t>.</t>
  </si>
  <si>
    <t>DIRECÇÃO PROVINCIAL DE EDUCAÇÃO</t>
  </si>
  <si>
    <t>MAPA DE APROVEITAMENTO PEDAGÓGICO DE ESCOLAS BÁSICAS  •  FINAL DO ANO  - 2025</t>
  </si>
  <si>
    <r>
      <t xml:space="preserve">DISTRITO DE QUELIMANE - </t>
    </r>
    <r>
      <rPr>
        <b/>
        <sz val="24"/>
        <color rgb="FFFF0000"/>
        <rFont val="Times New Roman"/>
      </rPr>
      <t>PUBLICAS</t>
    </r>
  </si>
  <si>
    <t>FINAL DO ANO DE 2025</t>
  </si>
  <si>
    <t>N/ ENTRAD</t>
  </si>
  <si>
    <t>A. MATRIC</t>
  </si>
  <si>
    <t>FIM DO TRIM</t>
  </si>
  <si>
    <t>SIT. POSIT.</t>
  </si>
  <si>
    <t>% SIT. POSIT</t>
  </si>
  <si>
    <t>7ª</t>
  </si>
  <si>
    <t>8ª</t>
  </si>
  <si>
    <t>9ª</t>
  </si>
  <si>
    <t>1º Ciclo  - CD</t>
  </si>
  <si>
    <t>CURSO NOCTURNO</t>
  </si>
  <si>
    <t>1º Ciclo -  CN</t>
  </si>
  <si>
    <t>DISTRITO</t>
  </si>
  <si>
    <r>
      <t xml:space="preserve">DISTRITO DE QUELIMANE - </t>
    </r>
    <r>
      <rPr>
        <b/>
        <sz val="24"/>
        <color rgb="FFFF0000"/>
        <rFont val="Times New Roman"/>
      </rPr>
      <t>PARTICULARES</t>
    </r>
  </si>
  <si>
    <t>CD</t>
  </si>
  <si>
    <t>CN</t>
  </si>
  <si>
    <r>
      <t xml:space="preserve">DISTRITO DE QUELIMANE - </t>
    </r>
    <r>
      <rPr>
        <b/>
        <sz val="24"/>
        <color rgb="FFFF0000"/>
        <rFont val="Times New Roman"/>
      </rPr>
      <t>PUBLICAS</t>
    </r>
    <r>
      <rPr>
        <b/>
        <sz val="24"/>
        <rFont val="Times New Roman"/>
      </rPr>
      <t xml:space="preserve"> + </t>
    </r>
    <r>
      <rPr>
        <b/>
        <sz val="24"/>
        <color rgb="FFFF0000"/>
        <rFont val="Times New Roman"/>
      </rPr>
      <t>PARTICULARES</t>
    </r>
  </si>
  <si>
    <t>MAPA DE APROVEITAMENTO PEDAGÓGICO DO FINAL DO ANO DO ENSINO BASICO - 2025</t>
  </si>
  <si>
    <t>E.B. Icidua</t>
  </si>
  <si>
    <t>E.B.7 DE ABRIL - COLOLO</t>
  </si>
  <si>
    <t>E.B. Zalala</t>
  </si>
  <si>
    <t>E.B. Varela</t>
  </si>
  <si>
    <t>E.B. Mudenga</t>
  </si>
  <si>
    <t>E.B. Mualima</t>
  </si>
  <si>
    <t xml:space="preserve">E.B. Janeiro </t>
  </si>
  <si>
    <t>E.B. 17 de Setembro</t>
  </si>
  <si>
    <t>E.B. Muropue</t>
  </si>
  <si>
    <t>E.B. Sampene</t>
  </si>
  <si>
    <t>E.B. Ionge</t>
  </si>
  <si>
    <t>E.B. Sangariveira</t>
  </si>
  <si>
    <t>E.B. Sangariveira Especial</t>
  </si>
  <si>
    <t>E.B. Nangoela</t>
  </si>
  <si>
    <t>E.B. Mugogoda</t>
  </si>
  <si>
    <t>E.B. Irregone</t>
  </si>
  <si>
    <t>E.B. CEFAT -Zalala</t>
  </si>
  <si>
    <t>E.B. Mucai</t>
  </si>
  <si>
    <t>E.B. Gogone</t>
  </si>
  <si>
    <t>E.B. Joao Paulo II</t>
  </si>
  <si>
    <t>E.B. Anunciacao</t>
  </si>
  <si>
    <t>E.B. Islamica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</si>
</sst>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0.0;[Red]0.0"/>
    <numFmt numFmtId="165" formatCode="[$-816]dd\-mmm"/>
    <numFmt numFmtId="166" formatCode="0.0"/>
  </numFmts>
  <fonts count="26">
    <font>
      <sz val="11"/>
      <name val="Calibri"/>
    </font>
    <font>
      <b/>
      <sz val="18"/>
      <color rgb="FFFF0000"/>
      <name val="Times New Roman"/>
    </font>
    <font>
      <b/>
      <sz val="12"/>
      <color rgb="FF000000"/>
      <name val="Times New Roman"/>
    </font>
    <font>
      <sz val="12"/>
      <name val="Times New Roman"/>
    </font>
    <font>
      <b/>
      <sz val="36"/>
      <color rgb="FFFF0000"/>
      <name val="Times New Roman"/>
    </font>
    <font>
      <b/>
      <sz val="20"/>
      <name val="Times New Roman"/>
    </font>
    <font>
      <b/>
      <sz val="20"/>
      <color rgb="FF000000"/>
      <name val="Times New Roman"/>
    </font>
    <font>
      <b/>
      <sz val="11"/>
      <color rgb="FF000000"/>
      <name val="Times New Roman"/>
    </font>
    <font>
      <b/>
      <sz val="16"/>
      <color rgb="FFC00000"/>
      <name val="Times New Roman"/>
    </font>
    <font>
      <b/>
      <sz val="12"/>
      <name val="Times New Roman"/>
    </font>
    <font>
      <sz val="12"/>
      <color rgb="FF000000"/>
      <name val="Times New Roman"/>
    </font>
    <font>
      <b/>
      <sz val="14"/>
      <color rgb="FF000000"/>
      <name val="Calibri"/>
    </font>
    <font>
      <sz val="14"/>
      <color rgb="FF000000"/>
      <name val="Calibri"/>
    </font>
    <font>
      <sz val="11"/>
      <color rgb="FF000000"/>
      <name val="Calibri"/>
    </font>
    <font>
      <sz val="11"/>
      <color rgb="FF000000"/>
      <name val="Times New Roman"/>
    </font>
    <font>
      <b/>
      <sz val="28"/>
      <color rgb="FF002060"/>
      <name val="Times New Roman"/>
    </font>
    <font>
      <b/>
      <sz val="24"/>
      <color rgb="FF000000"/>
      <name val="Times New Roman"/>
    </font>
    <font>
      <b/>
      <sz val="24"/>
      <name val="Times New Roman"/>
    </font>
    <font>
      <b/>
      <sz val="16"/>
      <color rgb="FFFF0000"/>
      <name val="Times New Roman"/>
    </font>
    <font>
      <b/>
      <sz val="26"/>
      <color rgb="FF000000"/>
      <name val="Times New Roman"/>
    </font>
    <font>
      <sz val="10"/>
      <color rgb="FF000000"/>
      <name val="Calibri"/>
    </font>
    <font>
      <b/>
      <sz val="10"/>
      <color rgb="FF000000"/>
      <name val="Times New Roman"/>
    </font>
    <font>
      <sz val="14"/>
      <name val="Times New Roman"/>
    </font>
    <font>
      <sz val="11"/>
      <color rgb="FF000000"/>
      <name val="Calibri"/>
    </font>
    <font>
      <b/>
      <sz val="36"/>
      <color rgb="FFFF0000"/>
      <name val="Calibri"/>
    </font>
    <font>
      <b/>
      <sz val="24"/>
      <color rgb="FFFF0000"/>
      <name val="Times New Roman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5DFEC"/>
        <bgColor indexed="64"/>
      </patternFill>
    </fill>
    <fill>
      <patternFill patternType="solid">
        <fgColor rgb="FFCBC0D9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5F1"/>
        <bgColor indexed="64"/>
      </patternFill>
    </fill>
    <fill>
      <patternFill patternType="solid">
        <fgColor rgb="FF94CDDD"/>
        <bgColor indexed="64"/>
      </patternFill>
    </fill>
    <fill>
      <patternFill patternType="solid">
        <fgColor rgb="FFE6B9B8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44" fontId="23" fillId="0" borderId="0">
      <protection locked="0"/>
    </xf>
  </cellStyleXfs>
  <cellXfs count="122">
    <xf numFmtId="0" fontId="0" fillId="0" borderId="0" xfId="0">
      <alignment vertical="center"/>
    </xf>
    <xf numFmtId="0" fontId="2" fillId="0" borderId="0" xfId="0" applyFont="1" applyAlignment="1"/>
    <xf numFmtId="164" fontId="2" fillId="0" borderId="0" xfId="0" applyNumberFormat="1" applyFont="1" applyAlignme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7" fillId="0" borderId="14" xfId="0" applyFont="1" applyBorder="1" applyAlignment="1"/>
    <xf numFmtId="164" fontId="7" fillId="0" borderId="14" xfId="0" applyNumberFormat="1" applyFont="1" applyBorder="1" applyAlignment="1"/>
    <xf numFmtId="164" fontId="7" fillId="0" borderId="15" xfId="0" applyNumberFormat="1" applyFont="1" applyBorder="1" applyAlignment="1"/>
    <xf numFmtId="0" fontId="2" fillId="0" borderId="19" xfId="0" applyFont="1" applyBorder="1" applyAlignment="1">
      <alignment horizontal="center"/>
    </xf>
    <xf numFmtId="0" fontId="9" fillId="5" borderId="20" xfId="0" applyFont="1" applyFill="1" applyBorder="1" applyAlignment="1">
      <alignment horizontal="right"/>
    </xf>
    <xf numFmtId="0" fontId="3" fillId="6" borderId="20" xfId="0" applyFont="1" applyFill="1" applyBorder="1" applyAlignment="1">
      <alignment horizontal="right"/>
    </xf>
    <xf numFmtId="0" fontId="9" fillId="5" borderId="20" xfId="0" applyFont="1" applyFill="1" applyBorder="1" applyAlignment="1"/>
    <xf numFmtId="164" fontId="9" fillId="5" borderId="20" xfId="0" applyNumberFormat="1" applyFont="1" applyFill="1" applyBorder="1" applyAlignment="1"/>
    <xf numFmtId="164" fontId="9" fillId="5" borderId="21" xfId="0" applyNumberFormat="1" applyFont="1" applyFill="1" applyBorder="1" applyAlignment="1"/>
    <xf numFmtId="164" fontId="9" fillId="5" borderId="22" xfId="0" applyNumberFormat="1" applyFont="1" applyFill="1" applyBorder="1" applyAlignment="1"/>
    <xf numFmtId="0" fontId="2" fillId="5" borderId="20" xfId="0" applyFont="1" applyFill="1" applyBorder="1" applyAlignment="1"/>
    <xf numFmtId="0" fontId="10" fillId="0" borderId="20" xfId="0" applyFont="1" applyBorder="1" applyAlignment="1"/>
    <xf numFmtId="164" fontId="2" fillId="5" borderId="20" xfId="0" applyNumberFormat="1" applyFont="1" applyFill="1" applyBorder="1" applyAlignment="1"/>
    <xf numFmtId="164" fontId="2" fillId="5" borderId="23" xfId="0" applyNumberFormat="1" applyFont="1" applyFill="1" applyBorder="1" applyAlignment="1"/>
    <xf numFmtId="0" fontId="2" fillId="5" borderId="24" xfId="0" applyFont="1" applyFill="1" applyBorder="1" applyAlignment="1">
      <alignment horizontal="center"/>
    </xf>
    <xf numFmtId="0" fontId="2" fillId="5" borderId="25" xfId="0" applyFont="1" applyFill="1" applyBorder="1" applyAlignment="1"/>
    <xf numFmtId="164" fontId="2" fillId="5" borderId="25" xfId="0" applyNumberFormat="1" applyFont="1" applyFill="1" applyBorder="1" applyAlignment="1"/>
    <xf numFmtId="0" fontId="10" fillId="6" borderId="20" xfId="0" applyFont="1" applyFill="1" applyBorder="1" applyAlignment="1"/>
    <xf numFmtId="0" fontId="2" fillId="0" borderId="26" xfId="0" applyFont="1" applyBorder="1" applyAlignment="1">
      <alignment horizontal="center"/>
    </xf>
    <xf numFmtId="0" fontId="2" fillId="5" borderId="21" xfId="0" applyFont="1" applyFill="1" applyBorder="1" applyAlignment="1"/>
    <xf numFmtId="0" fontId="10" fillId="6" borderId="21" xfId="0" applyFont="1" applyFill="1" applyBorder="1" applyAlignment="1"/>
    <xf numFmtId="0" fontId="10" fillId="0" borderId="21" xfId="0" applyFont="1" applyBorder="1" applyAlignment="1"/>
    <xf numFmtId="164" fontId="2" fillId="5" borderId="21" xfId="0" applyNumberFormat="1" applyFont="1" applyFill="1" applyBorder="1" applyAlignment="1"/>
    <xf numFmtId="164" fontId="2" fillId="5" borderId="22" xfId="0" applyNumberFormat="1" applyFont="1" applyFill="1" applyBorder="1" applyAlignment="1"/>
    <xf numFmtId="0" fontId="2" fillId="5" borderId="24" xfId="0" applyFont="1" applyFill="1" applyBorder="1" applyAlignment="1">
      <alignment horizontal="center" wrapText="1"/>
    </xf>
    <xf numFmtId="166" fontId="2" fillId="5" borderId="25" xfId="0" applyNumberFormat="1" applyFont="1" applyFill="1" applyBorder="1" applyAlignment="1"/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/>
    </xf>
    <xf numFmtId="0" fontId="3" fillId="0" borderId="0" xfId="0" applyFont="1">
      <alignment vertical="center"/>
    </xf>
    <xf numFmtId="0" fontId="3" fillId="0" borderId="0" xfId="0" applyFont="1" applyAlignment="1"/>
    <xf numFmtId="0" fontId="16" fillId="6" borderId="0" xfId="0" applyFont="1" applyFill="1" applyAlignment="1">
      <alignment horizontal="center"/>
    </xf>
    <xf numFmtId="0" fontId="2" fillId="6" borderId="0" xfId="0" applyFont="1" applyFill="1" applyAlignment="1"/>
    <xf numFmtId="0" fontId="16" fillId="6" borderId="0" xfId="0" applyFont="1" applyFill="1" applyAlignment="1"/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7" fillId="0" borderId="14" xfId="0" applyFont="1" applyBorder="1" applyAlignment="1">
      <alignment horizontal="center"/>
    </xf>
    <xf numFmtId="164" fontId="7" fillId="0" borderId="14" xfId="0" applyNumberFormat="1" applyFont="1" applyBorder="1" applyAlignment="1">
      <alignment horizontal="center"/>
    </xf>
    <xf numFmtId="164" fontId="7" fillId="0" borderId="15" xfId="0" applyNumberFormat="1" applyFont="1" applyBorder="1" applyAlignment="1">
      <alignment horizontal="center"/>
    </xf>
    <xf numFmtId="0" fontId="2" fillId="0" borderId="19" xfId="0" applyFont="1" applyBorder="1" applyAlignment="1">
      <alignment horizontal="center" vertical="center"/>
    </xf>
    <xf numFmtId="0" fontId="10" fillId="5" borderId="20" xfId="0" applyFont="1" applyFill="1" applyBorder="1" applyAlignment="1"/>
    <xf numFmtId="0" fontId="10" fillId="6" borderId="29" xfId="0" applyFont="1" applyFill="1" applyBorder="1" applyAlignment="1"/>
    <xf numFmtId="1" fontId="10" fillId="6" borderId="20" xfId="0" applyNumberFormat="1" applyFont="1" applyFill="1" applyBorder="1" applyAlignment="1"/>
    <xf numFmtId="0" fontId="2" fillId="0" borderId="26" xfId="0" applyFont="1" applyBorder="1" applyAlignment="1">
      <alignment horizontal="center" vertical="center"/>
    </xf>
    <xf numFmtId="0" fontId="2" fillId="5" borderId="24" xfId="0" applyFont="1" applyFill="1" applyBorder="1" applyAlignment="1">
      <alignment horizontal="center" vertical="center"/>
    </xf>
    <xf numFmtId="1" fontId="2" fillId="5" borderId="25" xfId="0" applyNumberFormat="1" applyFont="1" applyFill="1" applyBorder="1" applyAlignment="1"/>
    <xf numFmtId="164" fontId="2" fillId="5" borderId="30" xfId="0" applyNumberFormat="1" applyFont="1" applyFill="1" applyBorder="1" applyAlignment="1"/>
    <xf numFmtId="1" fontId="10" fillId="6" borderId="21" xfId="0" applyNumberFormat="1" applyFont="1" applyFill="1" applyBorder="1" applyAlignment="1"/>
    <xf numFmtId="0" fontId="2" fillId="5" borderId="24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0" xfId="0" applyFont="1" applyFill="1" applyAlignment="1"/>
    <xf numFmtId="164" fontId="2" fillId="5" borderId="0" xfId="0" applyNumberFormat="1" applyFont="1" applyFill="1" applyAlignment="1"/>
    <xf numFmtId="0" fontId="2" fillId="6" borderId="0" xfId="0" applyFont="1" applyFill="1" applyAlignment="1">
      <alignment horizontal="center"/>
    </xf>
    <xf numFmtId="0" fontId="19" fillId="6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wrapText="1"/>
    </xf>
    <xf numFmtId="0" fontId="2" fillId="6" borderId="0" xfId="0" applyFont="1" applyFill="1" applyAlignment="1">
      <alignment wrapText="1"/>
    </xf>
    <xf numFmtId="0" fontId="10" fillId="5" borderId="31" xfId="0" applyFont="1" applyFill="1" applyBorder="1" applyAlignment="1"/>
    <xf numFmtId="0" fontId="10" fillId="6" borderId="31" xfId="0" applyFont="1" applyFill="1" applyBorder="1" applyAlignment="1"/>
    <xf numFmtId="0" fontId="10" fillId="5" borderId="21" xfId="0" applyFont="1" applyFill="1" applyBorder="1" applyAlignment="1"/>
    <xf numFmtId="0" fontId="2" fillId="5" borderId="9" xfId="0" applyFont="1" applyFill="1" applyBorder="1" applyAlignment="1">
      <alignment horizontal="center"/>
    </xf>
    <xf numFmtId="0" fontId="2" fillId="5" borderId="32" xfId="0" applyFont="1" applyFill="1" applyBorder="1" applyAlignment="1"/>
    <xf numFmtId="164" fontId="2" fillId="5" borderId="32" xfId="0" applyNumberFormat="1" applyFont="1" applyFill="1" applyBorder="1" applyAlignment="1"/>
    <xf numFmtId="164" fontId="2" fillId="5" borderId="33" xfId="0" applyNumberFormat="1" applyFont="1" applyFill="1" applyBorder="1" applyAlignment="1"/>
    <xf numFmtId="0" fontId="2" fillId="0" borderId="19" xfId="0" applyFont="1" applyBorder="1" applyAlignment="1">
      <alignment horizontal="left"/>
    </xf>
    <xf numFmtId="0" fontId="3" fillId="6" borderId="20" xfId="0" applyFont="1" applyFill="1" applyBorder="1" applyAlignment="1">
      <alignment horizontal="center"/>
    </xf>
    <xf numFmtId="166" fontId="3" fillId="6" borderId="20" xfId="0" applyNumberFormat="1" applyFont="1" applyFill="1" applyBorder="1" applyAlignment="1">
      <alignment horizontal="center"/>
    </xf>
    <xf numFmtId="0" fontId="20" fillId="0" borderId="0" xfId="0" applyFont="1" applyAlignment="1"/>
    <xf numFmtId="0" fontId="21" fillId="0" borderId="19" xfId="0" applyFont="1" applyBorder="1" applyAlignment="1">
      <alignment horizontal="left"/>
    </xf>
    <xf numFmtId="166" fontId="22" fillId="6" borderId="20" xfId="0" applyNumberFormat="1" applyFont="1" applyFill="1" applyBorder="1" applyAlignment="1">
      <alignment horizontal="center"/>
    </xf>
    <xf numFmtId="0" fontId="2" fillId="5" borderId="24" xfId="0" applyFont="1" applyFill="1" applyBorder="1" applyAlignment="1">
      <alignment wrapText="1"/>
    </xf>
    <xf numFmtId="0" fontId="2" fillId="5" borderId="25" xfId="0" applyFont="1" applyFill="1" applyBorder="1" applyAlignment="1">
      <alignment horizontal="center" vertical="center"/>
    </xf>
    <xf numFmtId="164" fontId="2" fillId="5" borderId="25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164" fontId="7" fillId="0" borderId="10" xfId="0" applyNumberFormat="1" applyFont="1" applyBorder="1" applyAlignment="1">
      <alignment horizontal="center" vertical="center" wrapText="1"/>
    </xf>
    <xf numFmtId="164" fontId="7" fillId="0" borderId="12" xfId="0" applyNumberFormat="1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44" fontId="11" fillId="0" borderId="0" xfId="1" applyFont="1" applyAlignment="1" applyProtection="1">
      <alignment horizontal="center"/>
    </xf>
    <xf numFmtId="0" fontId="14" fillId="0" borderId="0" xfId="0" applyFont="1" applyAlignment="1">
      <alignment horizontal="center"/>
    </xf>
    <xf numFmtId="165" fontId="7" fillId="0" borderId="10" xfId="0" applyNumberFormat="1" applyFont="1" applyBorder="1" applyAlignment="1">
      <alignment horizontal="center" vertical="center"/>
    </xf>
    <xf numFmtId="0" fontId="8" fillId="4" borderId="16" xfId="0" applyFont="1" applyFill="1" applyBorder="1" applyAlignment="1">
      <alignment horizontal="center"/>
    </xf>
    <xf numFmtId="0" fontId="8" fillId="4" borderId="17" xfId="0" applyFont="1" applyFill="1" applyBorder="1" applyAlignment="1">
      <alignment horizontal="center"/>
    </xf>
    <xf numFmtId="0" fontId="8" fillId="4" borderId="18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4" fontId="7" fillId="0" borderId="11" xfId="0" applyNumberFormat="1" applyFont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9" borderId="0" xfId="0" applyFont="1" applyFill="1" applyAlignment="1">
      <alignment horizontal="center"/>
    </xf>
    <xf numFmtId="0" fontId="18" fillId="2" borderId="27" xfId="0" applyFont="1" applyFill="1" applyBorder="1" applyAlignment="1">
      <alignment horizontal="center"/>
    </xf>
    <xf numFmtId="0" fontId="18" fillId="2" borderId="28" xfId="0" applyFont="1" applyFill="1" applyBorder="1" applyAlignment="1">
      <alignment horizontal="center"/>
    </xf>
    <xf numFmtId="0" fontId="18" fillId="2" borderId="12" xfId="0" applyFont="1" applyFill="1" applyBorder="1" applyAlignment="1">
      <alignment horizontal="center"/>
    </xf>
    <xf numFmtId="0" fontId="15" fillId="6" borderId="0" xfId="0" applyFont="1" applyFill="1" applyAlignment="1">
      <alignment horizontal="center" vertical="center"/>
    </xf>
    <xf numFmtId="0" fontId="17" fillId="8" borderId="0" xfId="0" applyFont="1" applyFill="1" applyAlignment="1">
      <alignment horizontal="center" vertical="center"/>
    </xf>
    <xf numFmtId="0" fontId="18" fillId="2" borderId="16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/>
    </xf>
    <xf numFmtId="0" fontId="18" fillId="2" borderId="18" xfId="0" applyFont="1" applyFill="1" applyBorder="1" applyAlignment="1">
      <alignment horizontal="center"/>
    </xf>
    <xf numFmtId="0" fontId="17" fillId="4" borderId="0" xfId="0" applyFont="1" applyFill="1" applyAlignment="1">
      <alignment horizontal="center" vertical="center"/>
    </xf>
    <xf numFmtId="0" fontId="16" fillId="7" borderId="0" xfId="0" applyFont="1" applyFill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www.wps.cn/officeDocument/2020/cellImage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199364</xdr:colOff>
      <xdr:row>1</xdr:row>
      <xdr:rowOff>164864</xdr:rowOff>
    </xdr:from>
    <xdr:to>
      <xdr:col>13</xdr:col>
      <xdr:colOff>398587</xdr:colOff>
      <xdr:row>5</xdr:row>
      <xdr:rowOff>126875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202079" y="180975"/>
          <a:ext cx="817919" cy="70375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12</xdr:col>
      <xdr:colOff>199364</xdr:colOff>
      <xdr:row>1</xdr:row>
      <xdr:rowOff>164864</xdr:rowOff>
    </xdr:from>
    <xdr:to>
      <xdr:col>13</xdr:col>
      <xdr:colOff>398587</xdr:colOff>
      <xdr:row>5</xdr:row>
      <xdr:rowOff>126875</xdr:rowOff>
    </xdr:to>
    <xdr:pic>
      <xdr:nvPicPr>
        <xdr:cNvPr id="3" name="Picture 1" descr=" 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945029" y="381000"/>
          <a:ext cx="808394" cy="75772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20</xdr:col>
      <xdr:colOff>88593</xdr:colOff>
      <xdr:row>1</xdr:row>
      <xdr:rowOff>101575</xdr:rowOff>
    </xdr:from>
    <xdr:to>
      <xdr:col>25</xdr:col>
      <xdr:colOff>419046</xdr:colOff>
      <xdr:row>9</xdr:row>
      <xdr:rowOff>139079</xdr:rowOff>
    </xdr:to>
    <xdr:sp macro="" textlink="">
      <xdr:nvSpPr>
        <xdr:cNvPr id="4" name="roundRec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1490158" y="331495"/>
          <a:ext cx="3248526" cy="1652601"/>
        </a:xfrm>
        <a:prstGeom prst="roundRect">
          <a:avLst/>
        </a:prstGeom>
        <a:solidFill>
          <a:srgbClr val="FFFFFF"/>
        </a:solidFill>
        <a:ln w="9525" cap="flat" cmpd="sng">
          <a:solidFill>
            <a:srgbClr val="7D64A2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ctr"/>
        <a:lstStyle/>
        <a:p>
          <a:pPr algn="ctr"/>
          <a:r>
            <a:rPr lang="en-US" altLang="zh-CN" sz="2000" b="1">
              <a:solidFill>
                <a:srgbClr val="000000"/>
              </a:solidFill>
              <a:latin typeface="Times New Roman" panose="00000000000000000000" charset="0"/>
              <a:ea typeface="Times New Roman" panose="00000000000000000000" charset="0"/>
            </a:rPr>
            <a:t>Visto</a:t>
          </a:r>
        </a:p>
        <a:p>
          <a:pPr algn="ctr"/>
          <a:r>
            <a:rPr lang="en-US" altLang="zh-CN" sz="1400">
              <a:solidFill>
                <a:srgbClr val="000000"/>
              </a:solidFill>
              <a:latin typeface="Times New Roman" panose="00000000000000000000" charset="0"/>
              <a:ea typeface="Times New Roman" panose="00000000000000000000" charset="0"/>
            </a:rPr>
            <a:t>O Director da Escola</a:t>
          </a:r>
        </a:p>
        <a:p>
          <a:pPr algn="ctr"/>
          <a:r>
            <a:rPr lang="en-US" altLang="zh-CN" sz="1400">
              <a:solidFill>
                <a:srgbClr val="000000"/>
              </a:solidFill>
              <a:latin typeface="Times New Roman" panose="00000000000000000000" charset="0"/>
              <a:ea typeface="Times New Roman" panose="00000000000000000000" charset="0"/>
            </a:rPr>
            <a:t>____________________________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536507</xdr:colOff>
      <xdr:row>3</xdr:row>
      <xdr:rowOff>37951</xdr:rowOff>
    </xdr:from>
    <xdr:to>
      <xdr:col>14</xdr:col>
      <xdr:colOff>289682</xdr:colOff>
      <xdr:row>7</xdr:row>
      <xdr:rowOff>0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759981" y="743643"/>
          <a:ext cx="986745" cy="88151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23</xdr:col>
      <xdr:colOff>393916</xdr:colOff>
      <xdr:row>2</xdr:row>
      <xdr:rowOff>0</xdr:rowOff>
    </xdr:from>
    <xdr:to>
      <xdr:col>27</xdr:col>
      <xdr:colOff>790985</xdr:colOff>
      <xdr:row>10</xdr:row>
      <xdr:rowOff>101575</xdr:rowOff>
    </xdr:to>
    <xdr:sp macro="" textlink="">
      <xdr:nvSpPr>
        <xdr:cNvPr id="3" name="roundRec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5748000" y="381000"/>
          <a:ext cx="3778250" cy="2016125"/>
        </a:xfrm>
        <a:prstGeom prst="roundRect">
          <a:avLst/>
        </a:prstGeom>
        <a:solidFill>
          <a:srgbClr val="FFFFFF"/>
        </a:solidFill>
        <a:ln w="9525" cap="flat" cmpd="sng">
          <a:solidFill>
            <a:srgbClr val="4F81BD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ctr"/>
          <a:r>
            <a:rPr lang="en-US" altLang="zh-CN" sz="20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Visto</a:t>
          </a:r>
        </a:p>
        <a:p>
          <a:pPr algn="ctr"/>
          <a:r>
            <a:rPr lang="en-US" altLang="zh-CN" sz="14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A Directora Distrital</a:t>
          </a:r>
        </a:p>
        <a:p>
          <a:pPr algn="ctr"/>
          <a:endParaRPr/>
        </a:p>
        <a:p>
          <a:pPr algn="ctr"/>
          <a:endParaRPr/>
        </a:p>
        <a:p>
          <a:pPr algn="ctr"/>
          <a:r>
            <a:rPr lang="en-US" altLang="zh-CN" sz="14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_______________________________</a:t>
          </a:r>
        </a:p>
        <a:p>
          <a:pPr algn="ctr"/>
          <a:r>
            <a:rPr lang="en-US" altLang="zh-CN" sz="14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Luisa Temnbe  Xavier Lobo Assane</a:t>
          </a:r>
        </a:p>
        <a:p>
          <a:pPr algn="ctr"/>
          <a:r>
            <a:rPr lang="en-US" altLang="zh-CN" sz="14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Instrutor e  Técnico Pedagógico N1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6"/>
  <sheetViews>
    <sheetView tabSelected="1" topLeftCell="F11" zoomScale="80" workbookViewId="0">
      <selection activeCell="AA28" sqref="AA28"/>
    </sheetView>
  </sheetViews>
  <sheetFormatPr defaultColWidth="10" defaultRowHeight="15"/>
  <cols>
    <col min="1" max="1" width="27" customWidth="1"/>
    <col min="2" max="2" width="8" customWidth="1"/>
    <col min="3" max="3" width="8.28515625" customWidth="1"/>
    <col min="4" max="4" width="7" customWidth="1"/>
    <col min="5" max="5" width="9.140625" customWidth="1"/>
    <col min="6" max="6" width="7.85546875" customWidth="1"/>
    <col min="7" max="7" width="9.28515625" customWidth="1"/>
    <col min="8" max="8" width="6.42578125" customWidth="1"/>
    <col min="9" max="9" width="7.85546875" customWidth="1"/>
    <col min="10" max="10" width="6.7109375" customWidth="1"/>
    <col min="11" max="11" width="7.42578125" customWidth="1"/>
    <col min="12" max="12" width="8.140625" customWidth="1"/>
    <col min="13" max="13" width="8" customWidth="1"/>
    <col min="14" max="15" width="8.5703125" customWidth="1"/>
    <col min="16" max="16" width="8.42578125" customWidth="1"/>
    <col min="17" max="17" width="8.5703125" customWidth="1"/>
    <col min="18" max="18" width="8.85546875" customWidth="1"/>
    <col min="19" max="19" width="9" customWidth="1"/>
    <col min="20" max="21" width="8.85546875" customWidth="1"/>
    <col min="22" max="22" width="8.28515625" customWidth="1"/>
    <col min="23" max="23" width="8.5703125" customWidth="1"/>
    <col min="24" max="24" width="9.42578125" customWidth="1"/>
    <col min="25" max="25" width="10.7109375" customWidth="1"/>
  </cols>
  <sheetData>
    <row r="1" spans="1:27" ht="15.75"/>
    <row r="2" spans="1:27" ht="15.75">
      <c r="A2" s="80" t="s">
        <v>0</v>
      </c>
      <c r="B2" s="81"/>
      <c r="C2" s="81"/>
      <c r="D2" s="81"/>
      <c r="E2" s="81"/>
      <c r="F2" s="81"/>
      <c r="G2" s="81"/>
      <c r="H2" s="81"/>
      <c r="I2" s="81"/>
      <c r="J2" s="81"/>
      <c r="K2" s="82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2"/>
      <c r="Y2" s="2"/>
      <c r="Z2" s="2"/>
      <c r="AA2" s="2"/>
    </row>
    <row r="3" spans="1:27" ht="15.75">
      <c r="A3" s="83"/>
      <c r="B3" s="84"/>
      <c r="C3" s="84"/>
      <c r="D3" s="84"/>
      <c r="E3" s="84"/>
      <c r="F3" s="84"/>
      <c r="G3" s="84"/>
      <c r="H3" s="84"/>
      <c r="I3" s="84"/>
      <c r="J3" s="84"/>
      <c r="K3" s="85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2"/>
      <c r="Y3" s="2"/>
      <c r="Z3" s="2"/>
      <c r="AA3" s="2"/>
    </row>
    <row r="4" spans="1:27" ht="15.75">
      <c r="A4" s="83"/>
      <c r="B4" s="84"/>
      <c r="C4" s="84"/>
      <c r="D4" s="84"/>
      <c r="E4" s="84"/>
      <c r="F4" s="84"/>
      <c r="G4" s="84"/>
      <c r="H4" s="84"/>
      <c r="I4" s="84"/>
      <c r="J4" s="84"/>
      <c r="K4" s="85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2"/>
      <c r="Y4" s="2"/>
      <c r="Z4" s="2"/>
      <c r="AA4" s="2"/>
    </row>
    <row r="5" spans="1:27" ht="15.75">
      <c r="A5" s="83"/>
      <c r="B5" s="84"/>
      <c r="C5" s="84"/>
      <c r="D5" s="84"/>
      <c r="E5" s="84"/>
      <c r="F5" s="84"/>
      <c r="G5" s="84"/>
      <c r="H5" s="84"/>
      <c r="I5" s="84"/>
      <c r="J5" s="84"/>
      <c r="K5" s="85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2"/>
      <c r="Y5" s="2"/>
      <c r="Z5" s="2"/>
      <c r="AA5" s="2"/>
    </row>
    <row r="6" spans="1:27" ht="16.5">
      <c r="A6" s="86"/>
      <c r="B6" s="87"/>
      <c r="C6" s="87"/>
      <c r="D6" s="87"/>
      <c r="E6" s="87"/>
      <c r="F6" s="87"/>
      <c r="G6" s="87"/>
      <c r="H6" s="87"/>
      <c r="I6" s="87"/>
      <c r="J6" s="87"/>
      <c r="K6" s="8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2"/>
      <c r="Y6" s="2"/>
      <c r="Z6" s="2"/>
      <c r="AA6" s="2"/>
    </row>
    <row r="7" spans="1:27" ht="15.75">
      <c r="A7" s="105" t="s">
        <v>1</v>
      </c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</row>
    <row r="8" spans="1:27" ht="15.75">
      <c r="A8" s="106" t="s">
        <v>2</v>
      </c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</row>
    <row r="9" spans="1:27" ht="15.75">
      <c r="A9" s="106" t="s">
        <v>3</v>
      </c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</row>
    <row r="10" spans="1:27" ht="15.7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46.5">
      <c r="A11" s="4"/>
      <c r="B11" s="4"/>
      <c r="C11" s="4"/>
      <c r="D11" s="4"/>
      <c r="E11" s="4"/>
      <c r="F11" s="4"/>
      <c r="G11" s="4"/>
      <c r="H11" s="110" t="s">
        <v>4</v>
      </c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4"/>
      <c r="W11" s="4"/>
      <c r="X11" s="4"/>
      <c r="Y11" s="4"/>
      <c r="Z11" s="4"/>
      <c r="AA11" s="4"/>
    </row>
    <row r="12" spans="1:27" ht="15.7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24.4">
      <c r="A13" s="107" t="s">
        <v>5</v>
      </c>
      <c r="B13" s="107"/>
      <c r="C13" s="107"/>
      <c r="D13" s="107"/>
      <c r="E13" s="107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</row>
    <row r="14" spans="1:27" ht="15.7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>
      <c r="A15" s="109" t="s">
        <v>6</v>
      </c>
      <c r="B15" s="109"/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</row>
    <row r="16" spans="1:27" ht="15.75" hidden="1">
      <c r="A16" s="109"/>
      <c r="B16" s="109"/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</row>
    <row r="17" spans="1:27" ht="21" customHeight="1">
      <c r="A17" s="91" t="s">
        <v>7</v>
      </c>
      <c r="B17" s="101">
        <v>44258</v>
      </c>
      <c r="C17" s="98"/>
      <c r="D17" s="94" t="s">
        <v>8</v>
      </c>
      <c r="E17" s="95"/>
      <c r="F17" s="94" t="s">
        <v>9</v>
      </c>
      <c r="G17" s="95"/>
      <c r="H17" s="97" t="s">
        <v>10</v>
      </c>
      <c r="I17" s="98"/>
      <c r="J17" s="97" t="s">
        <v>11</v>
      </c>
      <c r="K17" s="98"/>
      <c r="L17" s="97" t="s">
        <v>12</v>
      </c>
      <c r="M17" s="98"/>
      <c r="N17" s="94" t="s">
        <v>13</v>
      </c>
      <c r="O17" s="95"/>
      <c r="P17" s="97" t="s">
        <v>14</v>
      </c>
      <c r="Q17" s="98"/>
      <c r="R17" s="94" t="s">
        <v>15</v>
      </c>
      <c r="S17" s="95"/>
      <c r="T17" s="97" t="s">
        <v>16</v>
      </c>
      <c r="U17" s="98"/>
      <c r="V17" s="94" t="s">
        <v>17</v>
      </c>
      <c r="W17" s="95"/>
      <c r="X17" s="89" t="s">
        <v>18</v>
      </c>
      <c r="Y17" s="108"/>
      <c r="Z17" s="89" t="s">
        <v>19</v>
      </c>
      <c r="AA17" s="90"/>
    </row>
    <row r="18" spans="1:27" ht="15.75">
      <c r="A18" s="92"/>
      <c r="B18" s="5" t="s">
        <v>20</v>
      </c>
      <c r="C18" s="5" t="s">
        <v>21</v>
      </c>
      <c r="D18" s="5" t="s">
        <v>20</v>
      </c>
      <c r="E18" s="5" t="s">
        <v>21</v>
      </c>
      <c r="F18" s="5" t="s">
        <v>20</v>
      </c>
      <c r="G18" s="5" t="s">
        <v>21</v>
      </c>
      <c r="H18" s="5" t="s">
        <v>20</v>
      </c>
      <c r="I18" s="5" t="s">
        <v>21</v>
      </c>
      <c r="J18" s="5" t="s">
        <v>20</v>
      </c>
      <c r="K18" s="5" t="s">
        <v>21</v>
      </c>
      <c r="L18" s="5" t="s">
        <v>20</v>
      </c>
      <c r="M18" s="5" t="s">
        <v>21</v>
      </c>
      <c r="N18" s="5" t="s">
        <v>20</v>
      </c>
      <c r="O18" s="5" t="s">
        <v>21</v>
      </c>
      <c r="P18" s="5" t="s">
        <v>20</v>
      </c>
      <c r="Q18" s="5" t="s">
        <v>21</v>
      </c>
      <c r="R18" s="5" t="s">
        <v>20</v>
      </c>
      <c r="S18" s="5" t="s">
        <v>21</v>
      </c>
      <c r="T18" s="5" t="s">
        <v>20</v>
      </c>
      <c r="U18" s="5" t="s">
        <v>21</v>
      </c>
      <c r="V18" s="5" t="s">
        <v>20</v>
      </c>
      <c r="W18" s="5" t="s">
        <v>21</v>
      </c>
      <c r="X18" s="6" t="s">
        <v>20</v>
      </c>
      <c r="Y18" s="6" t="s">
        <v>21</v>
      </c>
      <c r="Z18" s="6" t="s">
        <v>20</v>
      </c>
      <c r="AA18" s="7" t="s">
        <v>21</v>
      </c>
    </row>
    <row r="19" spans="1:27" ht="20.25">
      <c r="A19" s="102" t="s">
        <v>22</v>
      </c>
      <c r="B19" s="103"/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4"/>
    </row>
    <row r="20" spans="1:27" ht="15.4">
      <c r="A20" s="8" t="s">
        <v>23</v>
      </c>
      <c r="B20" s="9">
        <v>31</v>
      </c>
      <c r="C20" s="9">
        <v>65</v>
      </c>
      <c r="D20" s="10"/>
      <c r="E20" s="10"/>
      <c r="F20" s="11">
        <v>31</v>
      </c>
      <c r="G20" s="11">
        <v>65</v>
      </c>
      <c r="H20" s="10"/>
      <c r="I20" s="10"/>
      <c r="J20" s="10"/>
      <c r="K20" s="10">
        <v>1</v>
      </c>
      <c r="L20" s="10"/>
      <c r="M20" s="10"/>
      <c r="N20" s="10"/>
      <c r="O20" s="10"/>
      <c r="P20" s="10"/>
      <c r="Q20" s="10"/>
      <c r="R20" s="9">
        <f t="shared" ref="R20:S22" si="0">SUM(F20-H20-J20-L20-N20-P20)</f>
        <v>31</v>
      </c>
      <c r="S20" s="9">
        <f t="shared" si="0"/>
        <v>64</v>
      </c>
      <c r="T20" s="9">
        <f>SUM(R20)</f>
        <v>31</v>
      </c>
      <c r="U20" s="9">
        <f>SUM(S20)</f>
        <v>64</v>
      </c>
      <c r="V20" s="10">
        <v>31</v>
      </c>
      <c r="W20" s="10">
        <v>62</v>
      </c>
      <c r="X20" s="12">
        <f>AVERAGE(V20*100/T20)</f>
        <v>100</v>
      </c>
      <c r="Y20" s="13">
        <f t="shared" ref="Y20:Y23" si="1">AVERAGE(W20*100/U20)</f>
        <v>96.875</v>
      </c>
      <c r="Z20" s="13">
        <f t="shared" ref="Z20:AA22" si="2">AVERAGE(H20*100/F20)</f>
        <v>0</v>
      </c>
      <c r="AA20" s="14">
        <f t="shared" si="2"/>
        <v>0</v>
      </c>
    </row>
    <row r="21" spans="1:27" ht="15.4">
      <c r="A21" s="8" t="s">
        <v>24</v>
      </c>
      <c r="B21" s="15">
        <v>28</v>
      </c>
      <c r="C21" s="15">
        <v>62</v>
      </c>
      <c r="D21" s="16"/>
      <c r="E21" s="16"/>
      <c r="F21" s="11">
        <v>28</v>
      </c>
      <c r="G21" s="15">
        <v>62</v>
      </c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9">
        <f t="shared" si="0"/>
        <v>28</v>
      </c>
      <c r="S21" s="9">
        <f t="shared" si="0"/>
        <v>62</v>
      </c>
      <c r="T21" s="9">
        <f t="shared" ref="T21:T22" si="3">SUM(R21)</f>
        <v>28</v>
      </c>
      <c r="U21" s="9">
        <f t="shared" ref="U21:U22" si="4">SUM(S21)</f>
        <v>62</v>
      </c>
      <c r="V21" s="16">
        <v>25</v>
      </c>
      <c r="W21" s="16">
        <v>60</v>
      </c>
      <c r="X21" s="12">
        <f t="shared" ref="X21:X23" si="5">AVERAGE(V21*100/T21)</f>
        <v>89.285714285714292</v>
      </c>
      <c r="Y21" s="13">
        <f t="shared" si="1"/>
        <v>96.774193548387103</v>
      </c>
      <c r="Z21" s="17">
        <f t="shared" si="2"/>
        <v>0</v>
      </c>
      <c r="AA21" s="18">
        <f t="shared" si="2"/>
        <v>0</v>
      </c>
    </row>
    <row r="22" spans="1:27" ht="15.4">
      <c r="A22" s="8" t="s">
        <v>25</v>
      </c>
      <c r="B22" s="15">
        <v>26</v>
      </c>
      <c r="C22" s="15">
        <v>63</v>
      </c>
      <c r="D22" s="16"/>
      <c r="E22" s="16"/>
      <c r="F22" s="11">
        <v>26</v>
      </c>
      <c r="G22" s="15">
        <v>63</v>
      </c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9">
        <f t="shared" si="0"/>
        <v>26</v>
      </c>
      <c r="S22" s="9">
        <f t="shared" si="0"/>
        <v>63</v>
      </c>
      <c r="T22" s="9">
        <f t="shared" si="3"/>
        <v>26</v>
      </c>
      <c r="U22" s="9">
        <f t="shared" si="4"/>
        <v>63</v>
      </c>
      <c r="V22" s="16">
        <v>26</v>
      </c>
      <c r="W22" s="16">
        <v>57</v>
      </c>
      <c r="X22" s="12">
        <f t="shared" si="5"/>
        <v>100</v>
      </c>
      <c r="Y22" s="13">
        <f t="shared" si="1"/>
        <v>90.476190476190482</v>
      </c>
      <c r="Z22" s="17">
        <f t="shared" si="2"/>
        <v>0</v>
      </c>
      <c r="AA22" s="18">
        <f t="shared" si="2"/>
        <v>0</v>
      </c>
    </row>
    <row r="23" spans="1:27" ht="16.5">
      <c r="A23" s="19" t="s">
        <v>26</v>
      </c>
      <c r="B23" s="20">
        <f>SUM(B20:B22)</f>
        <v>85</v>
      </c>
      <c r="C23" s="20">
        <f t="shared" ref="C23:W23" si="6">SUM(C20:C22)</f>
        <v>190</v>
      </c>
      <c r="D23" s="20">
        <f t="shared" si="6"/>
        <v>0</v>
      </c>
      <c r="E23" s="20">
        <f t="shared" si="6"/>
        <v>0</v>
      </c>
      <c r="F23" s="20">
        <f t="shared" si="6"/>
        <v>85</v>
      </c>
      <c r="G23" s="20">
        <f t="shared" si="6"/>
        <v>190</v>
      </c>
      <c r="H23" s="20">
        <f t="shared" si="6"/>
        <v>0</v>
      </c>
      <c r="I23" s="20">
        <f t="shared" si="6"/>
        <v>0</v>
      </c>
      <c r="J23" s="20">
        <f t="shared" si="6"/>
        <v>0</v>
      </c>
      <c r="K23" s="20">
        <f t="shared" si="6"/>
        <v>1</v>
      </c>
      <c r="L23" s="20">
        <f t="shared" si="6"/>
        <v>0</v>
      </c>
      <c r="M23" s="20">
        <f t="shared" si="6"/>
        <v>0</v>
      </c>
      <c r="N23" s="20">
        <f t="shared" si="6"/>
        <v>0</v>
      </c>
      <c r="O23" s="20">
        <f t="shared" si="6"/>
        <v>0</v>
      </c>
      <c r="P23" s="20">
        <f t="shared" si="6"/>
        <v>0</v>
      </c>
      <c r="Q23" s="20">
        <f t="shared" si="6"/>
        <v>0</v>
      </c>
      <c r="R23" s="20">
        <f t="shared" si="6"/>
        <v>85</v>
      </c>
      <c r="S23" s="20">
        <f t="shared" si="6"/>
        <v>189</v>
      </c>
      <c r="T23" s="20">
        <f t="shared" si="6"/>
        <v>85</v>
      </c>
      <c r="U23" s="20">
        <f t="shared" si="6"/>
        <v>189</v>
      </c>
      <c r="V23" s="20">
        <f t="shared" si="6"/>
        <v>82</v>
      </c>
      <c r="W23" s="20">
        <f t="shared" si="6"/>
        <v>179</v>
      </c>
      <c r="X23" s="12">
        <f t="shared" si="5"/>
        <v>96.470588235294116</v>
      </c>
      <c r="Y23" s="13">
        <f t="shared" si="1"/>
        <v>94.708994708994709</v>
      </c>
      <c r="Z23" s="21">
        <f>SUM(H23/B23*100)</f>
        <v>0</v>
      </c>
      <c r="AA23" s="21">
        <f>SUM(I23/C23*100)</f>
        <v>0</v>
      </c>
    </row>
    <row r="24" spans="1:27" ht="15.4">
      <c r="A24" s="8" t="s">
        <v>27</v>
      </c>
      <c r="B24" s="15">
        <v>31</v>
      </c>
      <c r="C24" s="15">
        <v>66</v>
      </c>
      <c r="D24" s="22">
        <v>4</v>
      </c>
      <c r="E24" s="22">
        <v>4</v>
      </c>
      <c r="F24" s="15">
        <f>SUM(B24+D24)</f>
        <v>35</v>
      </c>
      <c r="G24" s="15">
        <f>SUM(C24+E24)</f>
        <v>70</v>
      </c>
      <c r="H24" s="16">
        <v>4</v>
      </c>
      <c r="I24" s="16">
        <v>4</v>
      </c>
      <c r="J24" s="16"/>
      <c r="K24" s="16"/>
      <c r="L24" s="16"/>
      <c r="M24" s="16"/>
      <c r="N24" s="16"/>
      <c r="O24" s="16"/>
      <c r="P24" s="16"/>
      <c r="Q24" s="16"/>
      <c r="R24" s="9">
        <f t="shared" ref="R24:S26" si="7">SUM(F24-H24-J24-L24-N24-P24)</f>
        <v>31</v>
      </c>
      <c r="S24" s="9">
        <f t="shared" si="7"/>
        <v>66</v>
      </c>
      <c r="T24" s="9">
        <f>SUM(R24)</f>
        <v>31</v>
      </c>
      <c r="U24" s="9">
        <f>SUM(S24)</f>
        <v>66</v>
      </c>
      <c r="V24" s="16">
        <v>30</v>
      </c>
      <c r="W24" s="16">
        <v>61</v>
      </c>
      <c r="X24" s="12">
        <f>AVERAGE(V24*100/T24)</f>
        <v>96.774193548387103</v>
      </c>
      <c r="Y24" s="13">
        <f t="shared" ref="Y24:Y27" si="8">AVERAGE(W24*100/U24)</f>
        <v>92.424242424242422</v>
      </c>
      <c r="Z24" s="17">
        <f t="shared" ref="Z24:AA26" si="9">AVERAGE(H24*100/F24)</f>
        <v>11.428571428571429</v>
      </c>
      <c r="AA24" s="18">
        <f t="shared" si="9"/>
        <v>5.7142857142857144</v>
      </c>
    </row>
    <row r="25" spans="1:27" ht="15.4">
      <c r="A25" s="8" t="s">
        <v>28</v>
      </c>
      <c r="B25" s="15">
        <v>31</v>
      </c>
      <c r="C25" s="15">
        <v>57</v>
      </c>
      <c r="D25" s="22"/>
      <c r="E25" s="22">
        <v>1</v>
      </c>
      <c r="F25" s="15">
        <f t="shared" ref="F25:F26" si="10">SUM(B25+D25)</f>
        <v>31</v>
      </c>
      <c r="G25" s="15">
        <f t="shared" ref="G25:G26" si="11">SUM(C25+E25)</f>
        <v>58</v>
      </c>
      <c r="H25" s="16"/>
      <c r="I25" s="16"/>
      <c r="J25" s="16"/>
      <c r="K25" s="16">
        <v>1</v>
      </c>
      <c r="L25" s="16"/>
      <c r="M25" s="16"/>
      <c r="N25" s="16"/>
      <c r="O25" s="16"/>
      <c r="P25" s="16"/>
      <c r="Q25" s="16"/>
      <c r="R25" s="9">
        <f t="shared" si="7"/>
        <v>31</v>
      </c>
      <c r="S25" s="9">
        <f t="shared" si="7"/>
        <v>57</v>
      </c>
      <c r="T25" s="9">
        <f t="shared" ref="T25:T26" si="12">SUM(R25)</f>
        <v>31</v>
      </c>
      <c r="U25" s="9">
        <f t="shared" ref="U25:U26" si="13">SUM(S25)</f>
        <v>57</v>
      </c>
      <c r="V25" s="16">
        <v>27</v>
      </c>
      <c r="W25" s="16">
        <v>50</v>
      </c>
      <c r="X25" s="12">
        <f t="shared" ref="X25:X27" si="14">AVERAGE(V25*100/T25)</f>
        <v>87.096774193548384</v>
      </c>
      <c r="Y25" s="13">
        <f t="shared" si="8"/>
        <v>87.719298245614041</v>
      </c>
      <c r="Z25" s="17">
        <f t="shared" si="9"/>
        <v>0</v>
      </c>
      <c r="AA25" s="18">
        <f t="shared" si="9"/>
        <v>0</v>
      </c>
    </row>
    <row r="26" spans="1:27" ht="15.4">
      <c r="A26" s="23" t="s">
        <v>29</v>
      </c>
      <c r="B26" s="24">
        <v>19</v>
      </c>
      <c r="C26" s="24">
        <v>36</v>
      </c>
      <c r="D26" s="25"/>
      <c r="E26" s="25"/>
      <c r="F26" s="24">
        <f t="shared" si="10"/>
        <v>19</v>
      </c>
      <c r="G26" s="24">
        <f t="shared" si="11"/>
        <v>36</v>
      </c>
      <c r="H26" s="26">
        <v>1</v>
      </c>
      <c r="I26" s="26">
        <v>2</v>
      </c>
      <c r="J26" s="16"/>
      <c r="K26" s="16"/>
      <c r="L26" s="26"/>
      <c r="M26" s="26"/>
      <c r="N26" s="26"/>
      <c r="O26" s="26"/>
      <c r="P26" s="26"/>
      <c r="Q26" s="26"/>
      <c r="R26" s="9">
        <f t="shared" si="7"/>
        <v>18</v>
      </c>
      <c r="S26" s="9">
        <f t="shared" si="7"/>
        <v>34</v>
      </c>
      <c r="T26" s="9">
        <f t="shared" si="12"/>
        <v>18</v>
      </c>
      <c r="U26" s="9">
        <f t="shared" si="13"/>
        <v>34</v>
      </c>
      <c r="V26" s="26">
        <v>17</v>
      </c>
      <c r="W26" s="26">
        <v>33</v>
      </c>
      <c r="X26" s="12">
        <f t="shared" si="14"/>
        <v>94.444444444444443</v>
      </c>
      <c r="Y26" s="13">
        <f t="shared" si="8"/>
        <v>97.058823529411768</v>
      </c>
      <c r="Z26" s="27">
        <f t="shared" si="9"/>
        <v>5.2631578947368425</v>
      </c>
      <c r="AA26" s="28">
        <f t="shared" si="9"/>
        <v>5.5555555555555554</v>
      </c>
    </row>
    <row r="27" spans="1:27" ht="15.4">
      <c r="A27" s="19" t="s">
        <v>30</v>
      </c>
      <c r="B27" s="20">
        <f>SUM(B24:B26)</f>
        <v>81</v>
      </c>
      <c r="C27" s="20">
        <f t="shared" ref="C27" si="15">SUM(C24:C26)</f>
        <v>159</v>
      </c>
      <c r="D27" s="20">
        <f t="shared" ref="D27" si="16">SUM(D24:D26)</f>
        <v>4</v>
      </c>
      <c r="E27" s="20">
        <f t="shared" ref="E27" si="17">SUM(E24:E26)</f>
        <v>5</v>
      </c>
      <c r="F27" s="20">
        <f>SUM(F24:F26)</f>
        <v>85</v>
      </c>
      <c r="G27" s="20">
        <f>SUM(G24:G26)</f>
        <v>164</v>
      </c>
      <c r="H27" s="20">
        <f t="shared" ref="H27" si="18">SUM(H24:H26)</f>
        <v>5</v>
      </c>
      <c r="I27" s="20">
        <f t="shared" ref="I27" si="19">SUM(I24:I26)</f>
        <v>6</v>
      </c>
      <c r="J27" s="20">
        <f t="shared" ref="J27" si="20">SUM(J24:J26)</f>
        <v>0</v>
      </c>
      <c r="K27" s="20">
        <f t="shared" ref="K27" si="21">SUM(K24:K26)</f>
        <v>1</v>
      </c>
      <c r="L27" s="20">
        <f t="shared" ref="L27" si="22">SUM(L24:L26)</f>
        <v>0</v>
      </c>
      <c r="M27" s="20">
        <f t="shared" ref="M27" si="23">SUM(M24:M26)</f>
        <v>0</v>
      </c>
      <c r="N27" s="20">
        <f t="shared" ref="N27" si="24">SUM(N24:N26)</f>
        <v>0</v>
      </c>
      <c r="O27" s="20">
        <f t="shared" ref="O27" si="25">SUM(O24:O26)</f>
        <v>0</v>
      </c>
      <c r="P27" s="20">
        <f t="shared" ref="P27" si="26">SUM(P24:P26)</f>
        <v>0</v>
      </c>
      <c r="Q27" s="20">
        <f t="shared" ref="Q27" si="27">SUM(Q24:Q26)</f>
        <v>0</v>
      </c>
      <c r="R27" s="20">
        <f t="shared" ref="R27" si="28">SUM(R24:R26)</f>
        <v>80</v>
      </c>
      <c r="S27" s="20">
        <f t="shared" ref="S27" si="29">SUM(S24:S26)</f>
        <v>157</v>
      </c>
      <c r="T27" s="20">
        <f t="shared" ref="T27" si="30">SUM(T24:T26)</f>
        <v>80</v>
      </c>
      <c r="U27" s="20">
        <f t="shared" ref="U27" si="31">SUM(U24:U26)</f>
        <v>157</v>
      </c>
      <c r="V27" s="20">
        <f t="shared" ref="V27" si="32">SUM(V24:V26)</f>
        <v>74</v>
      </c>
      <c r="W27" s="20">
        <f t="shared" ref="W27" si="33">SUM(W24:W26)</f>
        <v>144</v>
      </c>
      <c r="X27" s="12">
        <f>AVERAGE(V27*100/T27)</f>
        <v>92.5</v>
      </c>
      <c r="Y27" s="13">
        <f t="shared" si="8"/>
        <v>91.71974522292993</v>
      </c>
      <c r="Z27" s="21">
        <f>SUM(H27/B27*100)</f>
        <v>6.1728395061728394</v>
      </c>
      <c r="AA27" s="21">
        <f>SUM(I27/C27*100)</f>
        <v>3.7735849056603774</v>
      </c>
    </row>
    <row r="28" spans="1:27" ht="15.4">
      <c r="A28" s="29" t="s">
        <v>31</v>
      </c>
      <c r="B28" s="20">
        <f>SUM(B23,B27)</f>
        <v>166</v>
      </c>
      <c r="C28" s="20">
        <f>SUM(C27,C23)</f>
        <v>349</v>
      </c>
      <c r="D28" s="20">
        <f t="shared" ref="D28" si="34">SUM(D27)</f>
        <v>4</v>
      </c>
      <c r="E28" s="20">
        <f t="shared" ref="E28" si="35">SUM(E27)</f>
        <v>5</v>
      </c>
      <c r="F28" s="20">
        <f>SUM(F27,F23)</f>
        <v>170</v>
      </c>
      <c r="G28" s="20">
        <f>SUM(G23,G27)</f>
        <v>354</v>
      </c>
      <c r="H28" s="20">
        <f>SUM(H27,H23)</f>
        <v>5</v>
      </c>
      <c r="I28" s="20">
        <f>SUM(I27,I23)</f>
        <v>6</v>
      </c>
      <c r="J28" s="20">
        <f>SUM(J27,J23)</f>
        <v>0</v>
      </c>
      <c r="K28" s="20">
        <f>SUM(K27,K23)</f>
        <v>2</v>
      </c>
      <c r="L28" s="20">
        <f t="shared" ref="L28:S28" si="36">SUM(L27,L23)</f>
        <v>0</v>
      </c>
      <c r="M28" s="20">
        <f t="shared" si="36"/>
        <v>0</v>
      </c>
      <c r="N28" s="20">
        <f t="shared" si="36"/>
        <v>0</v>
      </c>
      <c r="O28" s="20">
        <f t="shared" si="36"/>
        <v>0</v>
      </c>
      <c r="P28" s="20">
        <f t="shared" si="36"/>
        <v>0</v>
      </c>
      <c r="Q28" s="20">
        <f t="shared" si="36"/>
        <v>0</v>
      </c>
      <c r="R28" s="20">
        <f t="shared" si="36"/>
        <v>165</v>
      </c>
      <c r="S28" s="20">
        <f>SUM(S27,S23)</f>
        <v>346</v>
      </c>
      <c r="T28" s="20">
        <f>SUM(T27,T23)</f>
        <v>165</v>
      </c>
      <c r="U28" s="20">
        <f>SUM(U27,U23)</f>
        <v>346</v>
      </c>
      <c r="V28" s="20">
        <f>SUM(V27,V23)</f>
        <v>156</v>
      </c>
      <c r="W28" s="20">
        <f>SUM(W27,W23)</f>
        <v>323</v>
      </c>
      <c r="X28" s="30">
        <f t="shared" ref="X28" si="37">SUM(X27)</f>
        <v>92.5</v>
      </c>
      <c r="Y28" s="30">
        <f t="shared" ref="Y28" si="38">SUM(Y27)</f>
        <v>91.71974522292993</v>
      </c>
      <c r="Z28" s="30">
        <f t="shared" ref="Z28" si="39">SUM(Z27)</f>
        <v>6.1728395061728394</v>
      </c>
      <c r="AA28" s="30">
        <f t="shared" ref="AA28" si="40">SUM(AA27)</f>
        <v>3.7735849056603774</v>
      </c>
    </row>
    <row r="29" spans="1:27" ht="15.7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15.7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2" spans="1:27" ht="18.75">
      <c r="C32" s="96"/>
      <c r="D32" s="96"/>
      <c r="E32" s="96"/>
      <c r="L32" s="99" t="s">
        <v>32</v>
      </c>
      <c r="M32" s="99"/>
      <c r="N32" s="99"/>
      <c r="O32" s="99"/>
      <c r="P32" s="99"/>
      <c r="Q32" s="99"/>
    </row>
    <row r="33" spans="3:21" ht="18.75">
      <c r="C33" s="96"/>
      <c r="D33" s="96"/>
      <c r="E33" s="96"/>
      <c r="L33" s="93" t="s">
        <v>33</v>
      </c>
      <c r="M33" s="93"/>
      <c r="N33" s="93"/>
      <c r="O33" s="93"/>
      <c r="P33" s="93"/>
      <c r="Q33" s="93"/>
      <c r="S33" t="s">
        <v>34</v>
      </c>
    </row>
    <row r="34" spans="3:21" ht="18.75">
      <c r="C34" s="31"/>
      <c r="D34" s="31"/>
      <c r="E34" s="31"/>
      <c r="L34" s="32"/>
      <c r="M34" s="32"/>
      <c r="N34" s="32"/>
      <c r="O34" s="32"/>
      <c r="U34" t="s">
        <v>35</v>
      </c>
    </row>
    <row r="35" spans="3:21" ht="18.75">
      <c r="C35" s="33"/>
      <c r="D35" s="33"/>
      <c r="E35" s="33"/>
      <c r="L35" s="100"/>
      <c r="M35" s="100"/>
      <c r="N35" s="100"/>
      <c r="O35" s="100"/>
      <c r="P35" s="100"/>
      <c r="Q35" s="100"/>
    </row>
    <row r="36" spans="3:21">
      <c r="D36" s="32"/>
      <c r="L36" s="100"/>
      <c r="M36" s="100"/>
      <c r="N36" s="100"/>
      <c r="O36" s="100"/>
      <c r="P36" s="100"/>
      <c r="Q36" s="100"/>
    </row>
  </sheetData>
  <mergeCells count="28">
    <mergeCell ref="L36:Q36"/>
    <mergeCell ref="B17:C17"/>
    <mergeCell ref="A19:AA19"/>
    <mergeCell ref="A7:AA7"/>
    <mergeCell ref="A9:AA9"/>
    <mergeCell ref="A13:AA13"/>
    <mergeCell ref="X17:Y17"/>
    <mergeCell ref="A8:AA8"/>
    <mergeCell ref="A15:AA16"/>
    <mergeCell ref="H11:U11"/>
    <mergeCell ref="L35:Q35"/>
    <mergeCell ref="F17:G17"/>
    <mergeCell ref="C33:E33"/>
    <mergeCell ref="D17:E17"/>
    <mergeCell ref="R17:S17"/>
    <mergeCell ref="L17:M17"/>
    <mergeCell ref="A2:K6"/>
    <mergeCell ref="Z17:AA17"/>
    <mergeCell ref="A17:A18"/>
    <mergeCell ref="L33:Q33"/>
    <mergeCell ref="V17:W17"/>
    <mergeCell ref="C32:E32"/>
    <mergeCell ref="N17:O17"/>
    <mergeCell ref="J17:K17"/>
    <mergeCell ref="P17:Q17"/>
    <mergeCell ref="L32:Q32"/>
    <mergeCell ref="H17:I17"/>
    <mergeCell ref="T17:U17"/>
  </mergeCells>
  <printOptions horizontalCentered="1"/>
  <pageMargins left="0.25" right="0.25" top="0.75" bottom="0.75" header="0.3" footer="0.3"/>
  <pageSetup paperSize="9" scale="4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AC104"/>
  <sheetViews>
    <sheetView topLeftCell="A31" zoomScale="60" workbookViewId="0">
      <selection activeCell="Z76" sqref="Z76"/>
    </sheetView>
  </sheetViews>
  <sheetFormatPr defaultColWidth="10" defaultRowHeight="15"/>
  <cols>
    <col min="2" max="2" width="37.5703125" customWidth="1"/>
    <col min="4" max="4" width="12.7109375" customWidth="1"/>
    <col min="8" max="8" width="11.28515625" customWidth="1"/>
    <col min="20" max="20" width="10.85546875" customWidth="1"/>
    <col min="22" max="22" width="11" customWidth="1"/>
    <col min="24" max="24" width="13.7109375" customWidth="1"/>
    <col min="25" max="25" width="12" customWidth="1"/>
    <col min="26" max="26" width="12.7109375" customWidth="1"/>
    <col min="27" max="28" width="12.28515625" customWidth="1"/>
  </cols>
  <sheetData>
    <row r="3" spans="2:29" ht="22.5">
      <c r="B3" s="34"/>
      <c r="C3" s="115"/>
      <c r="D3" s="115"/>
      <c r="E3" s="115"/>
      <c r="F3" s="115"/>
      <c r="G3" s="115"/>
      <c r="H3" s="115"/>
      <c r="I3" s="115"/>
      <c r="J3" s="115"/>
      <c r="K3" s="35"/>
      <c r="L3" s="3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2"/>
      <c r="Z3" s="2"/>
      <c r="AA3" s="2"/>
      <c r="AB3" s="2"/>
      <c r="AC3" s="1"/>
    </row>
    <row r="4" spans="2:29" ht="22.5">
      <c r="B4" s="34"/>
      <c r="C4" s="115"/>
      <c r="D4" s="115"/>
      <c r="E4" s="115"/>
      <c r="F4" s="115"/>
      <c r="G4" s="115"/>
      <c r="H4" s="115"/>
      <c r="I4" s="115"/>
      <c r="J4" s="115"/>
      <c r="K4" s="35"/>
      <c r="L4" s="35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2"/>
      <c r="Z4" s="2"/>
      <c r="AA4" s="2"/>
      <c r="AB4" s="2"/>
      <c r="AC4" s="1"/>
    </row>
    <row r="5" spans="2:29" ht="22.5">
      <c r="B5" s="34"/>
      <c r="C5" s="35"/>
      <c r="D5" s="35"/>
      <c r="E5" s="35"/>
      <c r="F5" s="35"/>
      <c r="G5" s="35"/>
      <c r="H5" s="35"/>
      <c r="I5" s="35"/>
      <c r="J5" s="35"/>
      <c r="K5" s="35"/>
      <c r="L5" s="35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2"/>
      <c r="Z5" s="2"/>
      <c r="AA5" s="2"/>
      <c r="AB5" s="2"/>
      <c r="AC5" s="1"/>
    </row>
    <row r="6" spans="2:29" ht="15.75">
      <c r="B6" s="36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2"/>
      <c r="Z6" s="2"/>
      <c r="AA6" s="2"/>
      <c r="AB6" s="2"/>
      <c r="AC6" s="1"/>
    </row>
    <row r="7" spans="2:29" ht="15.75">
      <c r="B7" s="3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1"/>
    </row>
    <row r="8" spans="2:29" ht="15.75">
      <c r="B8" s="105" t="s">
        <v>1</v>
      </c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"/>
    </row>
    <row r="9" spans="2:29" ht="15.75">
      <c r="B9" s="106" t="s">
        <v>2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37"/>
    </row>
    <row r="10" spans="2:29" ht="15.75">
      <c r="B10" s="106" t="s">
        <v>36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  <c r="AB10" s="106"/>
      <c r="AC10" s="38"/>
    </row>
    <row r="11" spans="2:29" ht="15.75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38"/>
    </row>
    <row r="12" spans="2:29" ht="15.75">
      <c r="B12" s="121" t="s">
        <v>37</v>
      </c>
      <c r="C12" s="121"/>
      <c r="D12" s="121"/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38"/>
    </row>
    <row r="13" spans="2:29" ht="15.75">
      <c r="B13" s="121"/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"/>
    </row>
    <row r="14" spans="2:29" ht="30"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40"/>
    </row>
    <row r="15" spans="2:29" ht="30">
      <c r="B15" s="120" t="s">
        <v>38</v>
      </c>
      <c r="C15" s="120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41"/>
    </row>
    <row r="16" spans="2:29" ht="26.25">
      <c r="B16" s="42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 t="s">
        <v>39</v>
      </c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1"/>
    </row>
    <row r="17" spans="2:29" ht="15.75">
      <c r="B17" s="91" t="s">
        <v>7</v>
      </c>
      <c r="C17" s="101">
        <v>44258</v>
      </c>
      <c r="D17" s="98"/>
      <c r="E17" s="94" t="s">
        <v>40</v>
      </c>
      <c r="F17" s="95"/>
      <c r="G17" s="94" t="s">
        <v>9</v>
      </c>
      <c r="H17" s="95"/>
      <c r="I17" s="97" t="s">
        <v>10</v>
      </c>
      <c r="J17" s="98"/>
      <c r="K17" s="97" t="s">
        <v>11</v>
      </c>
      <c r="L17" s="98"/>
      <c r="M17" s="97" t="s">
        <v>12</v>
      </c>
      <c r="N17" s="98"/>
      <c r="O17" s="94" t="s">
        <v>41</v>
      </c>
      <c r="P17" s="95"/>
      <c r="Q17" s="97" t="s">
        <v>14</v>
      </c>
      <c r="R17" s="98"/>
      <c r="S17" s="94" t="s">
        <v>42</v>
      </c>
      <c r="T17" s="95"/>
      <c r="U17" s="97" t="s">
        <v>16</v>
      </c>
      <c r="V17" s="98"/>
      <c r="W17" s="94" t="s">
        <v>43</v>
      </c>
      <c r="X17" s="95"/>
      <c r="Y17" s="89" t="s">
        <v>44</v>
      </c>
      <c r="Z17" s="108"/>
      <c r="AA17" s="89" t="s">
        <v>19</v>
      </c>
      <c r="AB17" s="90"/>
      <c r="AC17" s="1"/>
    </row>
    <row r="18" spans="2:29" ht="16.5">
      <c r="B18" s="92"/>
      <c r="C18" s="44" t="s">
        <v>20</v>
      </c>
      <c r="D18" s="44" t="s">
        <v>21</v>
      </c>
      <c r="E18" s="44" t="s">
        <v>20</v>
      </c>
      <c r="F18" s="44" t="s">
        <v>21</v>
      </c>
      <c r="G18" s="44" t="s">
        <v>20</v>
      </c>
      <c r="H18" s="44" t="s">
        <v>21</v>
      </c>
      <c r="I18" s="44" t="s">
        <v>20</v>
      </c>
      <c r="J18" s="44" t="s">
        <v>21</v>
      </c>
      <c r="K18" s="44" t="s">
        <v>20</v>
      </c>
      <c r="L18" s="44" t="s">
        <v>21</v>
      </c>
      <c r="M18" s="44" t="s">
        <v>20</v>
      </c>
      <c r="N18" s="44" t="s">
        <v>21</v>
      </c>
      <c r="O18" s="44" t="s">
        <v>20</v>
      </c>
      <c r="P18" s="44" t="s">
        <v>21</v>
      </c>
      <c r="Q18" s="44" t="s">
        <v>20</v>
      </c>
      <c r="R18" s="44" t="s">
        <v>21</v>
      </c>
      <c r="S18" s="44" t="s">
        <v>20</v>
      </c>
      <c r="T18" s="44" t="s">
        <v>21</v>
      </c>
      <c r="U18" s="44" t="s">
        <v>20</v>
      </c>
      <c r="V18" s="44" t="s">
        <v>21</v>
      </c>
      <c r="W18" s="44" t="s">
        <v>20</v>
      </c>
      <c r="X18" s="44" t="s">
        <v>21</v>
      </c>
      <c r="Y18" s="45" t="s">
        <v>20</v>
      </c>
      <c r="Z18" s="45" t="s">
        <v>21</v>
      </c>
      <c r="AA18" s="45" t="s">
        <v>20</v>
      </c>
      <c r="AB18" s="46" t="s">
        <v>21</v>
      </c>
      <c r="AC18" s="1"/>
    </row>
    <row r="19" spans="2:29" ht="20.25">
      <c r="B19" s="112" t="s">
        <v>22</v>
      </c>
      <c r="C19" s="113"/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4"/>
      <c r="AC19" s="1"/>
    </row>
    <row r="20" spans="2:29" ht="15.75">
      <c r="B20" s="47" t="s">
        <v>45</v>
      </c>
      <c r="C20" s="48" t="e">
        <f>SUM('Aprovet. Pedag. EB - FINAL 2025'!#REF!+'Aprovet. Pedag. EB - FINAL 2025'!#REF!)</f>
        <v>#REF!</v>
      </c>
      <c r="D20" s="48" t="e">
        <f>SUM('Aprovet. Pedag. EB - FINAL 2025'!#REF!+'Aprovet. Pedag. EB - FINAL 2025'!#REF!)</f>
        <v>#REF!</v>
      </c>
      <c r="E20" s="22" t="e">
        <f>SUM('Aprovet. Pedag. EB - FINAL 2025'!#REF!+'Aprovet. Pedag. EB - FINAL 2025'!#REF!)</f>
        <v>#REF!</v>
      </c>
      <c r="F20" s="22" t="e">
        <f>SUM('Aprovet. Pedag. EB - FINAL 2025'!#REF!+'Aprovet. Pedag. EB - FINAL 2025'!#REF!)</f>
        <v>#REF!</v>
      </c>
      <c r="G20" s="48" t="e">
        <f>SUM('Aprovet. Pedag. EB - FINAL 2025'!#REF!+'Aprovet. Pedag. EB - FINAL 2025'!#REF!)</f>
        <v>#REF!</v>
      </c>
      <c r="H20" s="48" t="e">
        <f>SUM('Aprovet. Pedag. EB - FINAL 2025'!#REF!+'Aprovet. Pedag. EB - FINAL 2025'!#REF!)</f>
        <v>#REF!</v>
      </c>
      <c r="I20" s="22" t="e">
        <f>SUM('Aprovet. Pedag. EB - FINAL 2025'!#REF!+'Aprovet. Pedag. EB - FINAL 2025'!#REF!)</f>
        <v>#REF!</v>
      </c>
      <c r="J20" s="22" t="e">
        <f>SUM('Aprovet. Pedag. EB - FINAL 2025'!#REF!+'Aprovet. Pedag. EB - FINAL 2025'!#REF!)</f>
        <v>#REF!</v>
      </c>
      <c r="K20" s="22" t="e">
        <f>SUM('Aprovet. Pedag. EB - FINAL 2025'!#REF!+'Aprovet. Pedag. EB - FINAL 2025'!#REF!)</f>
        <v>#REF!</v>
      </c>
      <c r="L20" s="22" t="e">
        <f>SUM('Aprovet. Pedag. EB - FINAL 2025'!#REF!+'Aprovet. Pedag. EB - FINAL 2025'!#REF!)</f>
        <v>#REF!</v>
      </c>
      <c r="M20" s="22" t="e">
        <f>SUM('Aprovet. Pedag. EB - FINAL 2025'!#REF!+'Aprovet. Pedag. EB - FINAL 2025'!#REF!)</f>
        <v>#REF!</v>
      </c>
      <c r="N20" s="22" t="e">
        <f>SUM('Aprovet. Pedag. EB - FINAL 2025'!#REF!+'Aprovet. Pedag. EB - FINAL 2025'!#REF!)</f>
        <v>#REF!</v>
      </c>
      <c r="O20" s="22" t="e">
        <f>SUM('Aprovet. Pedag. EB - FINAL 2025'!#REF!+'Aprovet. Pedag. EB - FINAL 2025'!#REF!)</f>
        <v>#REF!</v>
      </c>
      <c r="P20" s="22" t="e">
        <f>SUM('Aprovet. Pedag. EB - FINAL 2025'!#REF!+'Aprovet. Pedag. EB - FINAL 2025'!#REF!)</f>
        <v>#REF!</v>
      </c>
      <c r="Q20" s="22" t="e">
        <f>SUM('Aprovet. Pedag. EB - FINAL 2025'!#REF!+'Aprovet. Pedag. EB - FINAL 2025'!#REF!)</f>
        <v>#REF!</v>
      </c>
      <c r="R20" s="22" t="e">
        <f>SUM('Aprovet. Pedag. EB - FINAL 2025'!#REF!+'Aprovet. Pedag. EB - FINAL 2025'!#REF!)</f>
        <v>#REF!</v>
      </c>
      <c r="S20" s="48" t="e">
        <f>SUM('Aprovet. Pedag. EB - FINAL 2025'!#REF!+'Aprovet. Pedag. EB - FINAL 2025'!#REF!)</f>
        <v>#REF!</v>
      </c>
      <c r="T20" s="48" t="e">
        <f>SUM('Aprovet. Pedag. EB - FINAL 2025'!#REF!+'Aprovet. Pedag. EB - FINAL 2025'!#REF!)</f>
        <v>#REF!</v>
      </c>
      <c r="U20" s="48" t="e">
        <f>SUM('Aprovet. Pedag. EB - FINAL 2025'!#REF!+'Aprovet. Pedag. EB - FINAL 2025'!#REF!)</f>
        <v>#REF!</v>
      </c>
      <c r="V20" s="48" t="e">
        <f>SUM('Aprovet. Pedag. EB - FINAL 2025'!#REF!+'Aprovet. Pedag. EB - FINAL 2025'!#REF!)</f>
        <v>#REF!</v>
      </c>
      <c r="W20" s="22" t="e">
        <f>SUM('Aprovet. Pedag. EB - FINAL 2025'!#REF!+'Aprovet. Pedag. EB - FINAL 2025'!#REF!)</f>
        <v>#REF!</v>
      </c>
      <c r="X20" s="22" t="e">
        <f>SUM('Aprovet. Pedag. EB - FINAL 2025'!#REF!+'Aprovet. Pedag. EB - FINAL 2025'!#REF!)</f>
        <v>#REF!</v>
      </c>
      <c r="Y20" s="17" t="e">
        <f>AVERAGE(W20*100/U20)</f>
        <v>#REF!</v>
      </c>
      <c r="Z20" s="17" t="e">
        <f>AVERAGE(X20*100/V20)</f>
        <v>#REF!</v>
      </c>
      <c r="AA20" s="17" t="e">
        <f>AVERAGE(I20*100/G20)</f>
        <v>#REF!</v>
      </c>
      <c r="AB20" s="18" t="e">
        <f>AVERAGE(J20*100/H20)</f>
        <v>#REF!</v>
      </c>
      <c r="AC20" s="1"/>
    </row>
    <row r="21" spans="2:29" ht="15.75">
      <c r="B21" s="47" t="s">
        <v>46</v>
      </c>
      <c r="C21" s="48" t="e">
        <f>SUM('Aprovet. Pedag. EB - FINAL 2025'!#REF!+'Aprovet. Pedag. EB - FINAL 2025'!#REF!)</f>
        <v>#REF!</v>
      </c>
      <c r="D21" s="48" t="e">
        <f>SUM('Aprovet. Pedag. EB - FINAL 2025'!#REF!+'Aprovet. Pedag. EB - FINAL 2025'!#REF!)</f>
        <v>#REF!</v>
      </c>
      <c r="E21" s="22" t="e">
        <f>SUM('Aprovet. Pedag. EB - FINAL 2025'!#REF!+'Aprovet. Pedag. EB - FINAL 2025'!#REF!)</f>
        <v>#REF!</v>
      </c>
      <c r="F21" s="22" t="e">
        <f>SUM('Aprovet. Pedag. EB - FINAL 2025'!#REF!+'Aprovet. Pedag. EB - FINAL 2025'!#REF!)</f>
        <v>#REF!</v>
      </c>
      <c r="G21" s="15" t="e">
        <f t="shared" ref="G21:G23" si="0">SUM(C21+E21)</f>
        <v>#REF!</v>
      </c>
      <c r="H21" s="15" t="e">
        <f t="shared" ref="H21:H23" si="1">SUM(D21+F21)</f>
        <v>#REF!</v>
      </c>
      <c r="I21" s="49" t="e">
        <f>SUM('Aprovet. Pedag. EB - FINAL 2025'!#REF!+'Aprovet. Pedag. EB - FINAL 2025'!#REF!)</f>
        <v>#REF!</v>
      </c>
      <c r="J21" s="49" t="e">
        <f>SUM('Aprovet. Pedag. EB - FINAL 2025'!#REF!+'Aprovet. Pedag. EB - FINAL 2025'!#REF!)</f>
        <v>#REF!</v>
      </c>
      <c r="K21" s="49" t="e">
        <f>SUM('Aprovet. Pedag. EB - FINAL 2025'!#REF!+'Aprovet. Pedag. EB - FINAL 2025'!#REF!)</f>
        <v>#REF!</v>
      </c>
      <c r="L21" s="49" t="e">
        <f>SUM('Aprovet. Pedag. EB - FINAL 2025'!#REF!+'Aprovet. Pedag. EB - FINAL 2025'!#REF!)</f>
        <v>#REF!</v>
      </c>
      <c r="M21" s="49" t="e">
        <f>SUM('Aprovet. Pedag. EB - FINAL 2025'!#REF!+'Aprovet. Pedag. EB - FINAL 2025'!#REF!)</f>
        <v>#REF!</v>
      </c>
      <c r="N21" s="49" t="e">
        <f>SUM('Aprovet. Pedag. EB - FINAL 2025'!#REF!+'Aprovet. Pedag. EB - FINAL 2025'!#REF!)</f>
        <v>#REF!</v>
      </c>
      <c r="O21" s="49" t="e">
        <f>SUM('Aprovet. Pedag. EB - FINAL 2025'!#REF!+'Aprovet. Pedag. EB - FINAL 2025'!#REF!)</f>
        <v>#REF!</v>
      </c>
      <c r="P21" s="49" t="e">
        <f>SUM('Aprovet. Pedag. EB - FINAL 2025'!#REF!+'Aprovet. Pedag. EB - FINAL 2025'!#REF!)</f>
        <v>#REF!</v>
      </c>
      <c r="Q21" s="49" t="e">
        <f>SUM('Aprovet. Pedag. EB - FINAL 2025'!#REF!+'Aprovet. Pedag. EB - FINAL 2025'!#REF!)</f>
        <v>#REF!</v>
      </c>
      <c r="R21" s="49" t="e">
        <f>SUM('Aprovet. Pedag. EB - FINAL 2025'!#REF!+'Aprovet. Pedag. EB - FINAL 2025'!#REF!)</f>
        <v>#REF!</v>
      </c>
      <c r="S21" s="15" t="e">
        <f t="shared" ref="S21:T23" si="2">SUM(G21-I21-K21-M21-O21-Q21)</f>
        <v>#REF!</v>
      </c>
      <c r="T21" s="15" t="e">
        <f t="shared" si="2"/>
        <v>#REF!</v>
      </c>
      <c r="U21" s="15" t="e">
        <f t="shared" ref="U21:V23" si="3">SUM(S21)</f>
        <v>#REF!</v>
      </c>
      <c r="V21" s="15" t="e">
        <f t="shared" si="3"/>
        <v>#REF!</v>
      </c>
      <c r="W21" s="50" t="e">
        <f>SUM('Aprovet. Pedag. EB - FINAL 2025'!#REF!+'Aprovet. Pedag. EB - FINAL 2025'!#REF!)</f>
        <v>#REF!</v>
      </c>
      <c r="X21" s="50" t="e">
        <f>SUM('Aprovet. Pedag. EB - FINAL 2025'!#REF!+'Aprovet. Pedag. EB - FINAL 2025'!#REF!)</f>
        <v>#REF!</v>
      </c>
      <c r="Y21" s="17" t="e">
        <f t="shared" ref="Y21:Z23" si="4">AVERAGE(W21*100/U21)</f>
        <v>#REF!</v>
      </c>
      <c r="Z21" s="17" t="e">
        <f t="shared" si="4"/>
        <v>#REF!</v>
      </c>
      <c r="AA21" s="17" t="e">
        <f t="shared" ref="AA21:AB23" si="5">AVERAGE(I21*100/G21)</f>
        <v>#REF!</v>
      </c>
      <c r="AB21" s="18" t="e">
        <f t="shared" si="5"/>
        <v>#REF!</v>
      </c>
      <c r="AC21" s="1"/>
    </row>
    <row r="22" spans="2:29" ht="16.5">
      <c r="B22" s="51" t="s">
        <v>47</v>
      </c>
      <c r="C22" s="48" t="e">
        <f>SUM('Aprovet. Pedag. EB - FINAL 2025'!#REF!+'Aprovet. Pedag. EB - FINAL 2025'!#REF!)</f>
        <v>#REF!</v>
      </c>
      <c r="D22" s="48" t="e">
        <f>SUM('Aprovet. Pedag. EB - FINAL 2025'!#REF!+'Aprovet. Pedag. EB - FINAL 2025'!#REF!)</f>
        <v>#REF!</v>
      </c>
      <c r="E22" s="22" t="e">
        <f>SUM('Aprovet. Pedag. EB - FINAL 2025'!#REF!+'Aprovet. Pedag. EB - FINAL 2025'!#REF!)</f>
        <v>#REF!</v>
      </c>
      <c r="F22" s="22" t="e">
        <f>SUM('Aprovet. Pedag. EB - FINAL 2025'!#REF!+'Aprovet. Pedag. EB - FINAL 2025'!#REF!)</f>
        <v>#REF!</v>
      </c>
      <c r="G22" s="24" t="e">
        <f t="shared" si="0"/>
        <v>#REF!</v>
      </c>
      <c r="H22" s="24" t="e">
        <f t="shared" si="1"/>
        <v>#REF!</v>
      </c>
      <c r="I22" s="49" t="e">
        <f>SUM('Aprovet. Pedag. EB - FINAL 2025'!#REF!+'Aprovet. Pedag. EB - FINAL 2025'!#REF!)</f>
        <v>#REF!</v>
      </c>
      <c r="J22" s="49" t="e">
        <f>SUM('Aprovet. Pedag. EB - FINAL 2025'!#REF!+'Aprovet. Pedag. EB - FINAL 2025'!#REF!)</f>
        <v>#REF!</v>
      </c>
      <c r="K22" s="49" t="e">
        <f>SUM('Aprovet. Pedag. EB - FINAL 2025'!#REF!+'Aprovet. Pedag. EB - FINAL 2025'!#REF!)</f>
        <v>#REF!</v>
      </c>
      <c r="L22" s="49" t="e">
        <f>SUM('Aprovet. Pedag. EB - FINAL 2025'!#REF!+'Aprovet. Pedag. EB - FINAL 2025'!#REF!)</f>
        <v>#REF!</v>
      </c>
      <c r="M22" s="49" t="e">
        <f>SUM('Aprovet. Pedag. EB - FINAL 2025'!#REF!+'Aprovet. Pedag. EB - FINAL 2025'!#REF!)</f>
        <v>#REF!</v>
      </c>
      <c r="N22" s="49" t="e">
        <f>SUM('Aprovet. Pedag. EB - FINAL 2025'!#REF!+'Aprovet. Pedag. EB - FINAL 2025'!#REF!)</f>
        <v>#REF!</v>
      </c>
      <c r="O22" s="49" t="e">
        <f>SUM('Aprovet. Pedag. EB - FINAL 2025'!#REF!+'Aprovet. Pedag. EB - FINAL 2025'!#REF!)</f>
        <v>#REF!</v>
      </c>
      <c r="P22" s="49" t="e">
        <f>SUM('Aprovet. Pedag. EB - FINAL 2025'!#REF!+'Aprovet. Pedag. EB - FINAL 2025'!#REF!)</f>
        <v>#REF!</v>
      </c>
      <c r="Q22" s="49" t="e">
        <f>SUM('Aprovet. Pedag. EB - FINAL 2025'!#REF!+'Aprovet. Pedag. EB - FINAL 2025'!#REF!)</f>
        <v>#REF!</v>
      </c>
      <c r="R22" s="49" t="e">
        <f>SUM('Aprovet. Pedag. EB - FINAL 2025'!#REF!+'Aprovet. Pedag. EB - FINAL 2025'!#REF!)</f>
        <v>#REF!</v>
      </c>
      <c r="S22" s="24" t="e">
        <f t="shared" si="2"/>
        <v>#REF!</v>
      </c>
      <c r="T22" s="24" t="e">
        <f t="shared" si="2"/>
        <v>#REF!</v>
      </c>
      <c r="U22" s="24" t="e">
        <f t="shared" si="3"/>
        <v>#REF!</v>
      </c>
      <c r="V22" s="24" t="e">
        <f t="shared" si="3"/>
        <v>#REF!</v>
      </c>
      <c r="W22" s="50" t="e">
        <f>SUM('Aprovet. Pedag. EB - FINAL 2025'!#REF!+'Aprovet. Pedag. EB - FINAL 2025'!#REF!)</f>
        <v>#REF!</v>
      </c>
      <c r="X22" s="50" t="e">
        <f>SUM('Aprovet. Pedag. EB - FINAL 2025'!#REF!+'Aprovet. Pedag. EB - FINAL 2025'!#REF!)</f>
        <v>#REF!</v>
      </c>
      <c r="Y22" s="27" t="e">
        <f t="shared" si="4"/>
        <v>#REF!</v>
      </c>
      <c r="Z22" s="27" t="e">
        <f t="shared" si="4"/>
        <v>#REF!</v>
      </c>
      <c r="AA22" s="27" t="e">
        <f t="shared" si="5"/>
        <v>#REF!</v>
      </c>
      <c r="AB22" s="28" t="e">
        <f t="shared" si="5"/>
        <v>#REF!</v>
      </c>
      <c r="AC22" s="1"/>
    </row>
    <row r="23" spans="2:29" ht="16.5">
      <c r="B23" s="52" t="s">
        <v>48</v>
      </c>
      <c r="C23" s="20" t="e">
        <f>SUM(C20:C22)</f>
        <v>#REF!</v>
      </c>
      <c r="D23" s="20" t="e">
        <f>SUM(D20:D22)</f>
        <v>#REF!</v>
      </c>
      <c r="E23" s="20" t="e">
        <f>SUM(E20:E22)</f>
        <v>#REF!</v>
      </c>
      <c r="F23" s="20" t="e">
        <f>SUM(F20:F22)</f>
        <v>#REF!</v>
      </c>
      <c r="G23" s="20" t="e">
        <f t="shared" si="0"/>
        <v>#REF!</v>
      </c>
      <c r="H23" s="20" t="e">
        <f t="shared" si="1"/>
        <v>#REF!</v>
      </c>
      <c r="I23" s="20" t="e">
        <f t="shared" ref="I23:R23" si="6">SUM(I20:I22)</f>
        <v>#REF!</v>
      </c>
      <c r="J23" s="20" t="e">
        <f t="shared" si="6"/>
        <v>#REF!</v>
      </c>
      <c r="K23" s="20" t="e">
        <f t="shared" si="6"/>
        <v>#REF!</v>
      </c>
      <c r="L23" s="20" t="e">
        <f t="shared" si="6"/>
        <v>#REF!</v>
      </c>
      <c r="M23" s="20" t="e">
        <f t="shared" si="6"/>
        <v>#REF!</v>
      </c>
      <c r="N23" s="20" t="e">
        <f t="shared" si="6"/>
        <v>#REF!</v>
      </c>
      <c r="O23" s="20" t="e">
        <f t="shared" si="6"/>
        <v>#REF!</v>
      </c>
      <c r="P23" s="20" t="e">
        <f t="shared" si="6"/>
        <v>#REF!</v>
      </c>
      <c r="Q23" s="20" t="e">
        <f t="shared" si="6"/>
        <v>#REF!</v>
      </c>
      <c r="R23" s="20" t="e">
        <f t="shared" si="6"/>
        <v>#REF!</v>
      </c>
      <c r="S23" s="20" t="e">
        <f t="shared" si="2"/>
        <v>#REF!</v>
      </c>
      <c r="T23" s="20" t="e">
        <f t="shared" si="2"/>
        <v>#REF!</v>
      </c>
      <c r="U23" s="20" t="e">
        <f t="shared" si="3"/>
        <v>#REF!</v>
      </c>
      <c r="V23" s="20" t="e">
        <f t="shared" si="3"/>
        <v>#REF!</v>
      </c>
      <c r="W23" s="53" t="e">
        <f>SUM(W20:W22)</f>
        <v>#REF!</v>
      </c>
      <c r="X23" s="53" t="e">
        <f>SUM(X20:X22)</f>
        <v>#REF!</v>
      </c>
      <c r="Y23" s="21" t="e">
        <f t="shared" si="4"/>
        <v>#REF!</v>
      </c>
      <c r="Z23" s="21" t="e">
        <f t="shared" si="4"/>
        <v>#REF!</v>
      </c>
      <c r="AA23" s="21" t="e">
        <f t="shared" si="5"/>
        <v>#REF!</v>
      </c>
      <c r="AB23" s="54" t="e">
        <f t="shared" si="5"/>
        <v>#REF!</v>
      </c>
      <c r="AC23" s="1"/>
    </row>
    <row r="24" spans="2:29" ht="20.25">
      <c r="B24" s="112" t="s">
        <v>49</v>
      </c>
      <c r="C24" s="113"/>
      <c r="D24" s="113"/>
      <c r="E24" s="113"/>
      <c r="F24" s="113"/>
      <c r="G24" s="113"/>
      <c r="H24" s="113"/>
      <c r="I24" s="113"/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  <c r="AA24" s="113"/>
      <c r="AB24" s="114"/>
      <c r="AC24" s="1"/>
    </row>
    <row r="25" spans="2:29" ht="15.75">
      <c r="B25" s="47" t="s">
        <v>45</v>
      </c>
      <c r="C25" s="15" t="e">
        <f>SUM('Aprovet. Pedag. EB - FINAL 2025'!#REF!)</f>
        <v>#REF!</v>
      </c>
      <c r="D25" s="15" t="e">
        <f>SUM('Aprovet. Pedag. EB - FINAL 2025'!#REF!)</f>
        <v>#REF!</v>
      </c>
      <c r="E25" s="22" t="e">
        <f>SUM('Aprovet. Pedag. EB - FINAL 2025'!#REF!)</f>
        <v>#REF!</v>
      </c>
      <c r="F25" s="22" t="e">
        <f>SUM('Aprovet. Pedag. EB - FINAL 2025'!#REF!)</f>
        <v>#REF!</v>
      </c>
      <c r="G25" s="15" t="e">
        <f>SUM('Aprovet. Pedag. EB - FINAL 2025'!#REF!)</f>
        <v>#REF!</v>
      </c>
      <c r="H25" s="15" t="e">
        <f>SUM('Aprovet. Pedag. EB - FINAL 2025'!#REF!)</f>
        <v>#REF!</v>
      </c>
      <c r="I25" s="22" t="e">
        <f>SUM('Aprovet. Pedag. EB - FINAL 2025'!#REF!)</f>
        <v>#REF!</v>
      </c>
      <c r="J25" s="22" t="e">
        <f>SUM('Aprovet. Pedag. EB - FINAL 2025'!#REF!)</f>
        <v>#REF!</v>
      </c>
      <c r="K25" s="22" t="e">
        <f>SUM('Aprovet. Pedag. EB - FINAL 2025'!#REF!)</f>
        <v>#REF!</v>
      </c>
      <c r="L25" s="22" t="e">
        <f>SUM('Aprovet. Pedag. EB - FINAL 2025'!#REF!)</f>
        <v>#REF!</v>
      </c>
      <c r="M25" s="22" t="e">
        <f>SUM('Aprovet. Pedag. EB - FINAL 2025'!#REF!)</f>
        <v>#REF!</v>
      </c>
      <c r="N25" s="22" t="e">
        <f>SUM('Aprovet. Pedag. EB - FINAL 2025'!#REF!)</f>
        <v>#REF!</v>
      </c>
      <c r="O25" s="22" t="e">
        <f>SUM('Aprovet. Pedag. EB - FINAL 2025'!#REF!)</f>
        <v>#REF!</v>
      </c>
      <c r="P25" s="22" t="e">
        <f>SUM('Aprovet. Pedag. EB - FINAL 2025'!#REF!)</f>
        <v>#REF!</v>
      </c>
      <c r="Q25" s="22" t="e">
        <f>SUM('Aprovet. Pedag. EB - FINAL 2025'!#REF!)</f>
        <v>#REF!</v>
      </c>
      <c r="R25" s="22" t="e">
        <f>SUM('Aprovet. Pedag. EB - FINAL 2025'!#REF!)</f>
        <v>#REF!</v>
      </c>
      <c r="S25" s="15" t="e">
        <f>SUM('Aprovet. Pedag. EB - FINAL 2025'!#REF!)</f>
        <v>#REF!</v>
      </c>
      <c r="T25" s="15" t="e">
        <f>SUM('Aprovet. Pedag. EB - FINAL 2025'!#REF!)</f>
        <v>#REF!</v>
      </c>
      <c r="U25" s="15" t="e">
        <f>SUM('Aprovet. Pedag. EB - FINAL 2025'!#REF!)</f>
        <v>#REF!</v>
      </c>
      <c r="V25" s="15" t="e">
        <f>SUM('Aprovet. Pedag. EB - FINAL 2025'!#REF!)</f>
        <v>#REF!</v>
      </c>
      <c r="W25" s="50" t="e">
        <f>SUM('Aprovet. Pedag. EB - FINAL 2025'!#REF!)</f>
        <v>#REF!</v>
      </c>
      <c r="X25" s="50" t="e">
        <f>SUM('Aprovet. Pedag. EB - FINAL 2025'!#REF!)</f>
        <v>#REF!</v>
      </c>
      <c r="Y25" s="17" t="e">
        <f>AVERAGE(W25*100/U25)</f>
        <v>#REF!</v>
      </c>
      <c r="Z25" s="17" t="e">
        <f>AVERAGE(X25*100/V25)</f>
        <v>#REF!</v>
      </c>
      <c r="AA25" s="17" t="e">
        <f>AVERAGE(I25*100/G25)</f>
        <v>#REF!</v>
      </c>
      <c r="AB25" s="18" t="e">
        <f>AVERAGE(J25*100/H25)</f>
        <v>#REF!</v>
      </c>
      <c r="AC25" s="1"/>
    </row>
    <row r="26" spans="2:29" ht="15.75">
      <c r="B26" s="47" t="s">
        <v>46</v>
      </c>
      <c r="C26" s="15" t="e">
        <f>SUM('Aprovet. Pedag. EB - FINAL 2025'!#REF!)</f>
        <v>#REF!</v>
      </c>
      <c r="D26" s="15" t="e">
        <f>SUM('Aprovet. Pedag. EB - FINAL 2025'!#REF!)</f>
        <v>#REF!</v>
      </c>
      <c r="E26" s="22" t="e">
        <f>SUM('Aprovet. Pedag. EB - FINAL 2025'!#REF!)</f>
        <v>#REF!</v>
      </c>
      <c r="F26" s="22" t="e">
        <f>SUM('Aprovet. Pedag. EB - FINAL 2025'!#REF!)</f>
        <v>#REF!</v>
      </c>
      <c r="G26" s="15" t="e">
        <f>SUM('Aprovet. Pedag. EB - FINAL 2025'!#REF!)</f>
        <v>#REF!</v>
      </c>
      <c r="H26" s="15" t="e">
        <f>SUM('Aprovet. Pedag. EB - FINAL 2025'!#REF!)</f>
        <v>#REF!</v>
      </c>
      <c r="I26" s="22" t="e">
        <f>SUM('Aprovet. Pedag. EB - FINAL 2025'!#REF!)</f>
        <v>#REF!</v>
      </c>
      <c r="J26" s="22" t="e">
        <f>SUM('Aprovet. Pedag. EB - FINAL 2025'!#REF!)</f>
        <v>#REF!</v>
      </c>
      <c r="K26" s="22" t="e">
        <f>SUM('Aprovet. Pedag. EB - FINAL 2025'!#REF!)</f>
        <v>#REF!</v>
      </c>
      <c r="L26" s="22" t="e">
        <f>SUM('Aprovet. Pedag. EB - FINAL 2025'!#REF!)</f>
        <v>#REF!</v>
      </c>
      <c r="M26" s="22" t="e">
        <f>SUM('Aprovet. Pedag. EB - FINAL 2025'!#REF!)</f>
        <v>#REF!</v>
      </c>
      <c r="N26" s="22" t="e">
        <f>SUM('Aprovet. Pedag. EB - FINAL 2025'!#REF!)</f>
        <v>#REF!</v>
      </c>
      <c r="O26" s="22" t="e">
        <f>SUM('Aprovet. Pedag. EB - FINAL 2025'!#REF!)</f>
        <v>#REF!</v>
      </c>
      <c r="P26" s="22" t="e">
        <f>SUM('Aprovet. Pedag. EB - FINAL 2025'!#REF!)</f>
        <v>#REF!</v>
      </c>
      <c r="Q26" s="22" t="e">
        <f>SUM('Aprovet. Pedag. EB - FINAL 2025'!#REF!)</f>
        <v>#REF!</v>
      </c>
      <c r="R26" s="22" t="e">
        <f>SUM('Aprovet. Pedag. EB - FINAL 2025'!#REF!)</f>
        <v>#REF!</v>
      </c>
      <c r="S26" s="15" t="e">
        <f>SUM('Aprovet. Pedag. EB - FINAL 2025'!#REF!)</f>
        <v>#REF!</v>
      </c>
      <c r="T26" s="15" t="e">
        <f>SUM('Aprovet. Pedag. EB - FINAL 2025'!#REF!)</f>
        <v>#REF!</v>
      </c>
      <c r="U26" s="15" t="e">
        <f>SUM('Aprovet. Pedag. EB - FINAL 2025'!#REF!)</f>
        <v>#REF!</v>
      </c>
      <c r="V26" s="15" t="e">
        <f>SUM('Aprovet. Pedag. EB - FINAL 2025'!#REF!)</f>
        <v>#REF!</v>
      </c>
      <c r="W26" s="50" t="e">
        <f>SUM('Aprovet. Pedag. EB - FINAL 2025'!#REF!)</f>
        <v>#REF!</v>
      </c>
      <c r="X26" s="50" t="e">
        <f>SUM('Aprovet. Pedag. EB - FINAL 2025'!#REF!)</f>
        <v>#REF!</v>
      </c>
      <c r="Y26" s="17" t="e">
        <f t="shared" ref="Y26:Z29" si="7">AVERAGE(W26*100/U26)</f>
        <v>#REF!</v>
      </c>
      <c r="Z26" s="17" t="e">
        <f t="shared" si="7"/>
        <v>#REF!</v>
      </c>
      <c r="AA26" s="17" t="e">
        <f t="shared" ref="AA26:AB29" si="8">AVERAGE(I26*100/G26)</f>
        <v>#REF!</v>
      </c>
      <c r="AB26" s="18" t="e">
        <f t="shared" si="8"/>
        <v>#REF!</v>
      </c>
      <c r="AC26" s="1"/>
    </row>
    <row r="27" spans="2:29" ht="16.5">
      <c r="B27" s="51" t="s">
        <v>47</v>
      </c>
      <c r="C27" s="24" t="e">
        <f>SUM('Aprovet. Pedag. EB - FINAL 2025'!#REF!)</f>
        <v>#REF!</v>
      </c>
      <c r="D27" s="24" t="e">
        <f>SUM('Aprovet. Pedag. EB - FINAL 2025'!#REF!)</f>
        <v>#REF!</v>
      </c>
      <c r="E27" s="25" t="e">
        <f>SUM('Aprovet. Pedag. EB - FINAL 2025'!#REF!)</f>
        <v>#REF!</v>
      </c>
      <c r="F27" s="25" t="e">
        <f>SUM('Aprovet. Pedag. EB - FINAL 2025'!#REF!)</f>
        <v>#REF!</v>
      </c>
      <c r="G27" s="24" t="e">
        <f>SUM('Aprovet. Pedag. EB - FINAL 2025'!#REF!)</f>
        <v>#REF!</v>
      </c>
      <c r="H27" s="24" t="e">
        <f>SUM('Aprovet. Pedag. EB - FINAL 2025'!#REF!)</f>
        <v>#REF!</v>
      </c>
      <c r="I27" s="25" t="e">
        <f>SUM('Aprovet. Pedag. EB - FINAL 2025'!#REF!)</f>
        <v>#REF!</v>
      </c>
      <c r="J27" s="25" t="e">
        <f>SUM('Aprovet. Pedag. EB - FINAL 2025'!#REF!)</f>
        <v>#REF!</v>
      </c>
      <c r="K27" s="25" t="e">
        <f>SUM('Aprovet. Pedag. EB - FINAL 2025'!#REF!)</f>
        <v>#REF!</v>
      </c>
      <c r="L27" s="25" t="e">
        <f>SUM('Aprovet. Pedag. EB - FINAL 2025'!#REF!)</f>
        <v>#REF!</v>
      </c>
      <c r="M27" s="25" t="e">
        <f>SUM('Aprovet. Pedag. EB - FINAL 2025'!#REF!)</f>
        <v>#REF!</v>
      </c>
      <c r="N27" s="25" t="e">
        <f>SUM('Aprovet. Pedag. EB - FINAL 2025'!#REF!)</f>
        <v>#REF!</v>
      </c>
      <c r="O27" s="25" t="e">
        <f>SUM('Aprovet. Pedag. EB - FINAL 2025'!#REF!)</f>
        <v>#REF!</v>
      </c>
      <c r="P27" s="25" t="e">
        <f>SUM('Aprovet. Pedag. EB - FINAL 2025'!#REF!)</f>
        <v>#REF!</v>
      </c>
      <c r="Q27" s="25" t="e">
        <f>SUM('Aprovet. Pedag. EB - FINAL 2025'!#REF!)</f>
        <v>#REF!</v>
      </c>
      <c r="R27" s="25" t="e">
        <f>SUM('Aprovet. Pedag. EB - FINAL 2025'!#REF!)</f>
        <v>#REF!</v>
      </c>
      <c r="S27" s="24" t="e">
        <f>SUM('Aprovet. Pedag. EB - FINAL 2025'!#REF!)</f>
        <v>#REF!</v>
      </c>
      <c r="T27" s="24" t="e">
        <f>SUM('Aprovet. Pedag. EB - FINAL 2025'!#REF!)</f>
        <v>#REF!</v>
      </c>
      <c r="U27" s="24" t="e">
        <f>SUM('Aprovet. Pedag. EB - FINAL 2025'!#REF!)</f>
        <v>#REF!</v>
      </c>
      <c r="V27" s="24" t="e">
        <f>SUM('Aprovet. Pedag. EB - FINAL 2025'!#REF!)</f>
        <v>#REF!</v>
      </c>
      <c r="W27" s="55" t="e">
        <f>SUM('Aprovet. Pedag. EB - FINAL 2025'!#REF!)</f>
        <v>#REF!</v>
      </c>
      <c r="X27" s="55" t="e">
        <f>SUM('Aprovet. Pedag. EB - FINAL 2025'!#REF!)</f>
        <v>#REF!</v>
      </c>
      <c r="Y27" s="27" t="e">
        <f t="shared" si="7"/>
        <v>#REF!</v>
      </c>
      <c r="Z27" s="27" t="e">
        <f t="shared" si="7"/>
        <v>#REF!</v>
      </c>
      <c r="AA27" s="27" t="e">
        <f t="shared" si="8"/>
        <v>#REF!</v>
      </c>
      <c r="AB27" s="28" t="e">
        <f t="shared" si="8"/>
        <v>#REF!</v>
      </c>
      <c r="AC27" s="1"/>
    </row>
    <row r="28" spans="2:29" ht="16.5">
      <c r="B28" s="52" t="s">
        <v>50</v>
      </c>
      <c r="C28" s="20" t="e">
        <f>SUM(C25:C27)</f>
        <v>#REF!</v>
      </c>
      <c r="D28" s="20" t="e">
        <f>SUM(D25:D27)</f>
        <v>#REF!</v>
      </c>
      <c r="E28" s="20" t="e">
        <f>SUM(E25:E27)</f>
        <v>#REF!</v>
      </c>
      <c r="F28" s="20" t="e">
        <f>SUM(F25:F27)</f>
        <v>#REF!</v>
      </c>
      <c r="G28" s="20" t="e">
        <f t="shared" ref="G28:G29" si="9">SUM(C28+E28)</f>
        <v>#REF!</v>
      </c>
      <c r="H28" s="20" t="e">
        <f t="shared" ref="H28:H29" si="10">SUM(D28+F28)</f>
        <v>#REF!</v>
      </c>
      <c r="I28" s="20" t="e">
        <f t="shared" ref="I28:R28" si="11">SUM(I25:I27)</f>
        <v>#REF!</v>
      </c>
      <c r="J28" s="20" t="e">
        <f t="shared" si="11"/>
        <v>#REF!</v>
      </c>
      <c r="K28" s="20" t="e">
        <f t="shared" si="11"/>
        <v>#REF!</v>
      </c>
      <c r="L28" s="20" t="e">
        <f t="shared" si="11"/>
        <v>#REF!</v>
      </c>
      <c r="M28" s="20" t="e">
        <f t="shared" si="11"/>
        <v>#REF!</v>
      </c>
      <c r="N28" s="20" t="e">
        <f t="shared" si="11"/>
        <v>#REF!</v>
      </c>
      <c r="O28" s="20" t="e">
        <f t="shared" si="11"/>
        <v>#REF!</v>
      </c>
      <c r="P28" s="20" t="e">
        <f t="shared" si="11"/>
        <v>#REF!</v>
      </c>
      <c r="Q28" s="20" t="e">
        <f t="shared" si="11"/>
        <v>#REF!</v>
      </c>
      <c r="R28" s="20" t="e">
        <f t="shared" si="11"/>
        <v>#REF!</v>
      </c>
      <c r="S28" s="20" t="e">
        <f t="shared" ref="S28:T29" si="12">SUM(G28-I28-K28-M28-O28-Q28)</f>
        <v>#REF!</v>
      </c>
      <c r="T28" s="20" t="e">
        <f t="shared" si="12"/>
        <v>#REF!</v>
      </c>
      <c r="U28" s="20" t="e">
        <f t="shared" ref="U28:V29" si="13">SUM(S28)</f>
        <v>#REF!</v>
      </c>
      <c r="V28" s="20" t="e">
        <f t="shared" si="13"/>
        <v>#REF!</v>
      </c>
      <c r="W28" s="30" t="e">
        <f>SUM(W25:W27)</f>
        <v>#REF!</v>
      </c>
      <c r="X28" s="30" t="e">
        <f>SUM(X25:X27)</f>
        <v>#REF!</v>
      </c>
      <c r="Y28" s="21" t="e">
        <f t="shared" si="7"/>
        <v>#REF!</v>
      </c>
      <c r="Z28" s="21" t="e">
        <f t="shared" si="7"/>
        <v>#REF!</v>
      </c>
      <c r="AA28" s="21" t="e">
        <f t="shared" si="8"/>
        <v>#REF!</v>
      </c>
      <c r="AB28" s="54" t="e">
        <f t="shared" si="8"/>
        <v>#REF!</v>
      </c>
      <c r="AC28" s="1"/>
    </row>
    <row r="29" spans="2:29" ht="16.5">
      <c r="B29" s="56" t="s">
        <v>51</v>
      </c>
      <c r="C29" s="20" t="e">
        <f>SUM(C28+C23)</f>
        <v>#REF!</v>
      </c>
      <c r="D29" s="20" t="e">
        <f t="shared" ref="D29:F29" si="14">SUM(D28+D23)</f>
        <v>#REF!</v>
      </c>
      <c r="E29" s="20" t="e">
        <f t="shared" si="14"/>
        <v>#REF!</v>
      </c>
      <c r="F29" s="20" t="e">
        <f t="shared" si="14"/>
        <v>#REF!</v>
      </c>
      <c r="G29" s="20" t="e">
        <f t="shared" si="9"/>
        <v>#REF!</v>
      </c>
      <c r="H29" s="20" t="e">
        <f t="shared" si="10"/>
        <v>#REF!</v>
      </c>
      <c r="I29" s="20" t="e">
        <f>SUM(I28+I23)</f>
        <v>#REF!</v>
      </c>
      <c r="J29" s="20" t="e">
        <f t="shared" ref="J29:R29" si="15">SUM(J28+J23)</f>
        <v>#REF!</v>
      </c>
      <c r="K29" s="20" t="e">
        <f t="shared" si="15"/>
        <v>#REF!</v>
      </c>
      <c r="L29" s="20" t="e">
        <f t="shared" si="15"/>
        <v>#REF!</v>
      </c>
      <c r="M29" s="20" t="e">
        <f t="shared" si="15"/>
        <v>#REF!</v>
      </c>
      <c r="N29" s="20" t="e">
        <f t="shared" si="15"/>
        <v>#REF!</v>
      </c>
      <c r="O29" s="20" t="e">
        <f t="shared" si="15"/>
        <v>#REF!</v>
      </c>
      <c r="P29" s="20" t="e">
        <f t="shared" si="15"/>
        <v>#REF!</v>
      </c>
      <c r="Q29" s="20" t="e">
        <f t="shared" si="15"/>
        <v>#REF!</v>
      </c>
      <c r="R29" s="20" t="e">
        <f t="shared" si="15"/>
        <v>#REF!</v>
      </c>
      <c r="S29" s="20" t="e">
        <f t="shared" si="12"/>
        <v>#REF!</v>
      </c>
      <c r="T29" s="20" t="e">
        <f t="shared" si="12"/>
        <v>#REF!</v>
      </c>
      <c r="U29" s="20" t="e">
        <f t="shared" si="13"/>
        <v>#REF!</v>
      </c>
      <c r="V29" s="20" t="e">
        <f t="shared" si="13"/>
        <v>#REF!</v>
      </c>
      <c r="W29" s="30" t="e">
        <f>SUM(W28+W23)</f>
        <v>#REF!</v>
      </c>
      <c r="X29" s="30" t="e">
        <f>SUM(X28+X23)</f>
        <v>#REF!</v>
      </c>
      <c r="Y29" s="21" t="e">
        <f t="shared" si="7"/>
        <v>#REF!</v>
      </c>
      <c r="Z29" s="21" t="e">
        <f t="shared" si="7"/>
        <v>#REF!</v>
      </c>
      <c r="AA29" s="21" t="e">
        <f t="shared" si="8"/>
        <v>#REF!</v>
      </c>
      <c r="AB29" s="54" t="e">
        <f t="shared" si="8"/>
        <v>#REF!</v>
      </c>
      <c r="AC29" s="1"/>
    </row>
    <row r="30" spans="2:29" ht="15.75">
      <c r="B30" s="57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9"/>
      <c r="Z30" s="59"/>
      <c r="AA30" s="59"/>
      <c r="AB30" s="59"/>
      <c r="AC30" s="1"/>
    </row>
    <row r="32" spans="2:29" ht="33">
      <c r="B32" s="60"/>
      <c r="C32" s="61"/>
      <c r="D32" s="61"/>
      <c r="E32" s="61"/>
      <c r="F32" s="61"/>
      <c r="G32" s="61"/>
      <c r="H32" s="61"/>
      <c r="I32" s="61"/>
      <c r="J32" s="61"/>
      <c r="K32" s="40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2"/>
      <c r="Z32" s="2"/>
      <c r="AA32" s="2"/>
      <c r="AB32" s="2"/>
    </row>
    <row r="33" spans="2:28" ht="15.75">
      <c r="B33" s="62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</row>
    <row r="34" spans="2:28" ht="30">
      <c r="B34" s="116" t="s">
        <v>52</v>
      </c>
      <c r="C34" s="116"/>
      <c r="D34" s="116"/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16"/>
      <c r="P34" s="116"/>
      <c r="Q34" s="116"/>
      <c r="R34" s="116"/>
      <c r="S34" s="116"/>
      <c r="T34" s="116"/>
      <c r="U34" s="116"/>
      <c r="V34" s="116"/>
      <c r="W34" s="116"/>
      <c r="X34" s="116"/>
      <c r="Y34" s="116"/>
      <c r="Z34" s="116"/>
      <c r="AA34" s="116"/>
      <c r="AB34" s="116"/>
    </row>
    <row r="35" spans="2:28" ht="15.75">
      <c r="B35" s="36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2:28" ht="25.5">
      <c r="B36" s="111" t="s">
        <v>37</v>
      </c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</row>
    <row r="37" spans="2:28" ht="16.5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2:28">
      <c r="B38" s="91" t="s">
        <v>7</v>
      </c>
      <c r="C38" s="101">
        <v>44258</v>
      </c>
      <c r="D38" s="98"/>
      <c r="E38" s="94" t="s">
        <v>40</v>
      </c>
      <c r="F38" s="95"/>
      <c r="G38" s="94" t="s">
        <v>9</v>
      </c>
      <c r="H38" s="95"/>
      <c r="I38" s="97" t="s">
        <v>10</v>
      </c>
      <c r="J38" s="98"/>
      <c r="K38" s="97" t="s">
        <v>11</v>
      </c>
      <c r="L38" s="98"/>
      <c r="M38" s="97" t="s">
        <v>12</v>
      </c>
      <c r="N38" s="98"/>
      <c r="O38" s="94" t="s">
        <v>41</v>
      </c>
      <c r="P38" s="95"/>
      <c r="Q38" s="97" t="s">
        <v>14</v>
      </c>
      <c r="R38" s="98"/>
      <c r="S38" s="94" t="s">
        <v>15</v>
      </c>
      <c r="T38" s="95"/>
      <c r="U38" s="97" t="s">
        <v>16</v>
      </c>
      <c r="V38" s="98"/>
      <c r="W38" s="94" t="s">
        <v>43</v>
      </c>
      <c r="X38" s="95"/>
      <c r="Y38" s="89" t="s">
        <v>44</v>
      </c>
      <c r="Z38" s="108"/>
      <c r="AA38" s="89" t="s">
        <v>19</v>
      </c>
      <c r="AB38" s="90"/>
    </row>
    <row r="39" spans="2:28" ht="15.75">
      <c r="B39" s="92"/>
      <c r="C39" s="44" t="s">
        <v>20</v>
      </c>
      <c r="D39" s="44" t="s">
        <v>21</v>
      </c>
      <c r="E39" s="44" t="s">
        <v>20</v>
      </c>
      <c r="F39" s="44" t="s">
        <v>21</v>
      </c>
      <c r="G39" s="44" t="s">
        <v>20</v>
      </c>
      <c r="H39" s="44" t="s">
        <v>21</v>
      </c>
      <c r="I39" s="44" t="s">
        <v>20</v>
      </c>
      <c r="J39" s="44" t="s">
        <v>21</v>
      </c>
      <c r="K39" s="44" t="s">
        <v>20</v>
      </c>
      <c r="L39" s="44" t="s">
        <v>21</v>
      </c>
      <c r="M39" s="44" t="s">
        <v>20</v>
      </c>
      <c r="N39" s="44" t="s">
        <v>21</v>
      </c>
      <c r="O39" s="44" t="s">
        <v>20</v>
      </c>
      <c r="P39" s="44" t="s">
        <v>21</v>
      </c>
      <c r="Q39" s="44" t="s">
        <v>20</v>
      </c>
      <c r="R39" s="44" t="s">
        <v>21</v>
      </c>
      <c r="S39" s="44" t="s">
        <v>20</v>
      </c>
      <c r="T39" s="44" t="s">
        <v>21</v>
      </c>
      <c r="U39" s="44" t="s">
        <v>20</v>
      </c>
      <c r="V39" s="44" t="s">
        <v>21</v>
      </c>
      <c r="W39" s="44" t="s">
        <v>20</v>
      </c>
      <c r="X39" s="44" t="s">
        <v>21</v>
      </c>
      <c r="Y39" s="45" t="s">
        <v>20</v>
      </c>
      <c r="Z39" s="45" t="s">
        <v>21</v>
      </c>
      <c r="AA39" s="45" t="s">
        <v>20</v>
      </c>
      <c r="AB39" s="46" t="s">
        <v>21</v>
      </c>
    </row>
    <row r="40" spans="2:28" ht="20.25">
      <c r="B40" s="117" t="s">
        <v>22</v>
      </c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  <c r="AA40" s="118"/>
      <c r="AB40" s="119"/>
    </row>
    <row r="41" spans="2:28" ht="15.75">
      <c r="B41" s="47" t="s">
        <v>45</v>
      </c>
      <c r="C41" s="48" t="e">
        <f>SUM('Aprovet. Pedag. EB - FINAL 2025'!#REF!)</f>
        <v>#REF!</v>
      </c>
      <c r="D41" s="48" t="e">
        <f>SUM('Aprovet. Pedag. EB - FINAL 2025'!#REF!)</f>
        <v>#REF!</v>
      </c>
      <c r="E41" s="16" t="e">
        <f>SUM('Aprovet. Pedag. EB - FINAL 2025'!#REF!)</f>
        <v>#REF!</v>
      </c>
      <c r="F41" s="16" t="e">
        <f>SUM('Aprovet. Pedag. EB - FINAL 2025'!#REF!)</f>
        <v>#REF!</v>
      </c>
      <c r="G41" s="15" t="e">
        <f>SUM(C41+E41)</f>
        <v>#REF!</v>
      </c>
      <c r="H41" s="15" t="e">
        <f>SUM(D41+F41)</f>
        <v>#REF!</v>
      </c>
      <c r="I41" s="16" t="e">
        <f>SUM('Aprovet. Pedag. EB - FINAL 2025'!#REF!)</f>
        <v>#REF!</v>
      </c>
      <c r="J41" s="16" t="e">
        <f>SUM('Aprovet. Pedag. EB - FINAL 2025'!#REF!)</f>
        <v>#REF!</v>
      </c>
      <c r="K41" s="16" t="e">
        <f>SUM('Aprovet. Pedag. EB - FINAL 2025'!#REF!)</f>
        <v>#REF!</v>
      </c>
      <c r="L41" s="16" t="e">
        <f>SUM('Aprovet. Pedag. EB - FINAL 2025'!#REF!)</f>
        <v>#REF!</v>
      </c>
      <c r="M41" s="16" t="e">
        <f>SUM('Aprovet. Pedag. EB - FINAL 2025'!#REF!)</f>
        <v>#REF!</v>
      </c>
      <c r="N41" s="16" t="e">
        <f>SUM('Aprovet. Pedag. EB - FINAL 2025'!#REF!)</f>
        <v>#REF!</v>
      </c>
      <c r="O41" s="16" t="e">
        <f>SUM('Aprovet. Pedag. EB - FINAL 2025'!#REF!)</f>
        <v>#REF!</v>
      </c>
      <c r="P41" s="16" t="e">
        <f>SUM('Aprovet. Pedag. EB - FINAL 2025'!#REF!)</f>
        <v>#REF!</v>
      </c>
      <c r="Q41" s="16" t="e">
        <f>SUM('Aprovet. Pedag. EB - FINAL 2025'!#REF!)</f>
        <v>#REF!</v>
      </c>
      <c r="R41" s="16" t="e">
        <f>SUM('Aprovet. Pedag. EB - FINAL 2025'!#REF!)</f>
        <v>#REF!</v>
      </c>
      <c r="S41" s="15" t="e">
        <f>SUM(G41-I41-K41-M41-O41-Q41)</f>
        <v>#REF!</v>
      </c>
      <c r="T41" s="15" t="e">
        <f>SUM(H41-J41-L41-N41-P41-R41)</f>
        <v>#REF!</v>
      </c>
      <c r="U41" s="15" t="e">
        <f>SUM(S41)</f>
        <v>#REF!</v>
      </c>
      <c r="V41" s="15" t="e">
        <f>SUM(T41)</f>
        <v>#REF!</v>
      </c>
      <c r="W41" s="16" t="e">
        <f>SUM('Aprovet. Pedag. EB - FINAL 2025'!#REF!)</f>
        <v>#REF!</v>
      </c>
      <c r="X41" s="16" t="e">
        <f>SUM('Aprovet. Pedag. EB - FINAL 2025'!#REF!)</f>
        <v>#REF!</v>
      </c>
      <c r="Y41" s="17" t="e">
        <f>AVERAGE(W41*100/U41)</f>
        <v>#REF!</v>
      </c>
      <c r="Z41" s="17" t="e">
        <f>AVERAGE(X41*100/V41)</f>
        <v>#REF!</v>
      </c>
      <c r="AA41" s="17" t="e">
        <f>AVERAGE(I41*100/G41)</f>
        <v>#REF!</v>
      </c>
      <c r="AB41" s="18" t="e">
        <f>AVERAGE(J41*100/H41)</f>
        <v>#REF!</v>
      </c>
    </row>
    <row r="42" spans="2:28" ht="15.75">
      <c r="B42" s="47" t="s">
        <v>46</v>
      </c>
      <c r="C42" s="48" t="e">
        <f>SUM('Aprovet. Pedag. EB - FINAL 2025'!#REF!)</f>
        <v>#REF!</v>
      </c>
      <c r="D42" s="48" t="e">
        <f>SUM('Aprovet. Pedag. EB - FINAL 2025'!#REF!)</f>
        <v>#REF!</v>
      </c>
      <c r="E42" s="16" t="e">
        <f>SUM('Aprovet. Pedag. EB - FINAL 2025'!#REF!)</f>
        <v>#REF!</v>
      </c>
      <c r="F42" s="16" t="e">
        <f>SUM('Aprovet. Pedag. EB - FINAL 2025'!#REF!)</f>
        <v>#REF!</v>
      </c>
      <c r="G42" s="15" t="e">
        <f t="shared" ref="G42:G50" si="16">SUM(C42+E42)</f>
        <v>#REF!</v>
      </c>
      <c r="H42" s="15" t="e">
        <f t="shared" ref="H42:H50" si="17">SUM(D42+F42)</f>
        <v>#REF!</v>
      </c>
      <c r="I42" s="16" t="e">
        <f>SUM('Aprovet. Pedag. EB - FINAL 2025'!#REF!)</f>
        <v>#REF!</v>
      </c>
      <c r="J42" s="16" t="e">
        <f>SUM('Aprovet. Pedag. EB - FINAL 2025'!#REF!)</f>
        <v>#REF!</v>
      </c>
      <c r="K42" s="16" t="e">
        <f>SUM('Aprovet. Pedag. EB - FINAL 2025'!#REF!)</f>
        <v>#REF!</v>
      </c>
      <c r="L42" s="16" t="e">
        <f>SUM('Aprovet. Pedag. EB - FINAL 2025'!#REF!)</f>
        <v>#REF!</v>
      </c>
      <c r="M42" s="16" t="e">
        <f>SUM('Aprovet. Pedag. EB - FINAL 2025'!#REF!)</f>
        <v>#REF!</v>
      </c>
      <c r="N42" s="16" t="e">
        <f>SUM('Aprovet. Pedag. EB - FINAL 2025'!#REF!)</f>
        <v>#REF!</v>
      </c>
      <c r="O42" s="16" t="e">
        <f>SUM('Aprovet. Pedag. EB - FINAL 2025'!#REF!)</f>
        <v>#REF!</v>
      </c>
      <c r="P42" s="16" t="e">
        <f>SUM('Aprovet. Pedag. EB - FINAL 2025'!#REF!)</f>
        <v>#REF!</v>
      </c>
      <c r="Q42" s="16" t="e">
        <f>SUM('Aprovet. Pedag. EB - FINAL 2025'!#REF!)</f>
        <v>#REF!</v>
      </c>
      <c r="R42" s="16" t="e">
        <f>SUM('Aprovet. Pedag. EB - FINAL 2025'!#REF!)</f>
        <v>#REF!</v>
      </c>
      <c r="S42" s="15" t="e">
        <f t="shared" ref="S42:T50" si="18">SUM(G42-I42-K42-M42-O42-Q42)</f>
        <v>#REF!</v>
      </c>
      <c r="T42" s="15" t="e">
        <f t="shared" si="18"/>
        <v>#REF!</v>
      </c>
      <c r="U42" s="15" t="e">
        <f t="shared" ref="U42:V50" si="19">SUM(S42)</f>
        <v>#REF!</v>
      </c>
      <c r="V42" s="15" t="e">
        <f t="shared" si="19"/>
        <v>#REF!</v>
      </c>
      <c r="W42" s="16" t="e">
        <f>SUM('Aprovet. Pedag. EB - FINAL 2025'!#REF!)</f>
        <v>#REF!</v>
      </c>
      <c r="X42" s="16" t="e">
        <f>SUM('Aprovet. Pedag. EB - FINAL 2025'!#REF!)</f>
        <v>#REF!</v>
      </c>
      <c r="Y42" s="17" t="e">
        <f t="shared" ref="Y42:Z50" si="20">AVERAGE(W42*100/U42)</f>
        <v>#REF!</v>
      </c>
      <c r="Z42" s="17" t="e">
        <f t="shared" si="20"/>
        <v>#REF!</v>
      </c>
      <c r="AA42" s="17" t="e">
        <f t="shared" ref="AA42:AB50" si="21">AVERAGE(I42*100/G42)</f>
        <v>#REF!</v>
      </c>
      <c r="AB42" s="18" t="e">
        <f t="shared" si="21"/>
        <v>#REF!</v>
      </c>
    </row>
    <row r="43" spans="2:28" ht="16.5">
      <c r="B43" s="51" t="s">
        <v>47</v>
      </c>
      <c r="C43" s="48" t="e">
        <f>SUM('Aprovet. Pedag. EB - FINAL 2025'!#REF!)</f>
        <v>#REF!</v>
      </c>
      <c r="D43" s="48" t="e">
        <f>SUM('Aprovet. Pedag. EB - FINAL 2025'!#REF!)</f>
        <v>#REF!</v>
      </c>
      <c r="E43" s="16" t="e">
        <f>SUM('Aprovet. Pedag. EB - FINAL 2025'!#REF!)</f>
        <v>#REF!</v>
      </c>
      <c r="F43" s="16" t="e">
        <f>SUM('Aprovet. Pedag. EB - FINAL 2025'!#REF!)</f>
        <v>#REF!</v>
      </c>
      <c r="G43" s="24" t="e">
        <f t="shared" si="16"/>
        <v>#REF!</v>
      </c>
      <c r="H43" s="24" t="e">
        <f t="shared" si="17"/>
        <v>#REF!</v>
      </c>
      <c r="I43" s="16" t="e">
        <f>SUM('Aprovet. Pedag. EB - FINAL 2025'!#REF!)</f>
        <v>#REF!</v>
      </c>
      <c r="J43" s="16" t="e">
        <f>SUM('Aprovet. Pedag. EB - FINAL 2025'!#REF!)</f>
        <v>#REF!</v>
      </c>
      <c r="K43" s="16" t="e">
        <f>SUM('Aprovet. Pedag. EB - FINAL 2025'!#REF!)</f>
        <v>#REF!</v>
      </c>
      <c r="L43" s="16" t="e">
        <f>SUM('Aprovet. Pedag. EB - FINAL 2025'!#REF!)</f>
        <v>#REF!</v>
      </c>
      <c r="M43" s="16" t="e">
        <f>SUM('Aprovet. Pedag. EB - FINAL 2025'!#REF!)</f>
        <v>#REF!</v>
      </c>
      <c r="N43" s="16" t="e">
        <f>SUM('Aprovet. Pedag. EB - FINAL 2025'!#REF!)</f>
        <v>#REF!</v>
      </c>
      <c r="O43" s="16" t="e">
        <f>SUM('Aprovet. Pedag. EB - FINAL 2025'!#REF!)</f>
        <v>#REF!</v>
      </c>
      <c r="P43" s="16" t="e">
        <f>SUM('Aprovet. Pedag. EB - FINAL 2025'!#REF!)</f>
        <v>#REF!</v>
      </c>
      <c r="Q43" s="16" t="e">
        <f>SUM('Aprovet. Pedag. EB - FINAL 2025'!#REF!)</f>
        <v>#REF!</v>
      </c>
      <c r="R43" s="16" t="e">
        <f>SUM('Aprovet. Pedag. EB - FINAL 2025'!#REF!)</f>
        <v>#REF!</v>
      </c>
      <c r="S43" s="24" t="e">
        <f t="shared" si="18"/>
        <v>#REF!</v>
      </c>
      <c r="T43" s="24" t="e">
        <f t="shared" si="18"/>
        <v>#REF!</v>
      </c>
      <c r="U43" s="24" t="e">
        <f t="shared" si="19"/>
        <v>#REF!</v>
      </c>
      <c r="V43" s="24" t="e">
        <f t="shared" si="19"/>
        <v>#REF!</v>
      </c>
      <c r="W43" s="16" t="e">
        <f>SUM('Aprovet. Pedag. EB - FINAL 2025'!#REF!)</f>
        <v>#REF!</v>
      </c>
      <c r="X43" s="16" t="e">
        <f>SUM('Aprovet. Pedag. EB - FINAL 2025'!#REF!)</f>
        <v>#REF!</v>
      </c>
      <c r="Y43" s="27" t="e">
        <f t="shared" si="20"/>
        <v>#REF!</v>
      </c>
      <c r="Z43" s="27" t="e">
        <f t="shared" si="20"/>
        <v>#REF!</v>
      </c>
      <c r="AA43" s="27" t="e">
        <f t="shared" si="21"/>
        <v>#REF!</v>
      </c>
      <c r="AB43" s="28" t="e">
        <f t="shared" si="21"/>
        <v>#REF!</v>
      </c>
    </row>
    <row r="44" spans="2:28" ht="16.5">
      <c r="B44" s="19" t="s">
        <v>53</v>
      </c>
      <c r="C44" s="20" t="e">
        <f>SUM(C41:C43)</f>
        <v>#REF!</v>
      </c>
      <c r="D44" s="20" t="e">
        <f>SUM(D41:D43)</f>
        <v>#REF!</v>
      </c>
      <c r="E44" s="20" t="e">
        <f>SUM(E41:E43)</f>
        <v>#REF!</v>
      </c>
      <c r="F44" s="20" t="e">
        <f>SUM(F41:F43)</f>
        <v>#REF!</v>
      </c>
      <c r="G44" s="20" t="e">
        <f t="shared" si="16"/>
        <v>#REF!</v>
      </c>
      <c r="H44" s="20" t="e">
        <f t="shared" si="17"/>
        <v>#REF!</v>
      </c>
      <c r="I44" s="20" t="e">
        <f t="shared" ref="I44:R44" si="22">SUM(I41:I43)</f>
        <v>#REF!</v>
      </c>
      <c r="J44" s="20" t="e">
        <f t="shared" si="22"/>
        <v>#REF!</v>
      </c>
      <c r="K44" s="20" t="e">
        <f t="shared" si="22"/>
        <v>#REF!</v>
      </c>
      <c r="L44" s="20" t="e">
        <f t="shared" si="22"/>
        <v>#REF!</v>
      </c>
      <c r="M44" s="20" t="e">
        <f t="shared" si="22"/>
        <v>#REF!</v>
      </c>
      <c r="N44" s="20" t="e">
        <f t="shared" si="22"/>
        <v>#REF!</v>
      </c>
      <c r="O44" s="20" t="e">
        <f t="shared" si="22"/>
        <v>#REF!</v>
      </c>
      <c r="P44" s="20" t="e">
        <f t="shared" si="22"/>
        <v>#REF!</v>
      </c>
      <c r="Q44" s="20" t="e">
        <f t="shared" si="22"/>
        <v>#REF!</v>
      </c>
      <c r="R44" s="20" t="e">
        <f t="shared" si="22"/>
        <v>#REF!</v>
      </c>
      <c r="S44" s="20" t="e">
        <f t="shared" si="18"/>
        <v>#REF!</v>
      </c>
      <c r="T44" s="20" t="e">
        <f t="shared" si="18"/>
        <v>#REF!</v>
      </c>
      <c r="U44" s="20" t="e">
        <f t="shared" si="19"/>
        <v>#REF!</v>
      </c>
      <c r="V44" s="20" t="e">
        <f t="shared" si="19"/>
        <v>#REF!</v>
      </c>
      <c r="W44" s="20" t="e">
        <f>SUM(W41:W43)</f>
        <v>#REF!</v>
      </c>
      <c r="X44" s="20" t="e">
        <f>SUM(X41:X43)</f>
        <v>#REF!</v>
      </c>
      <c r="Y44" s="21" t="e">
        <f t="shared" si="20"/>
        <v>#REF!</v>
      </c>
      <c r="Z44" s="21" t="e">
        <f t="shared" si="20"/>
        <v>#REF!</v>
      </c>
      <c r="AA44" s="21" t="e">
        <f t="shared" si="21"/>
        <v>#REF!</v>
      </c>
      <c r="AB44" s="54" t="e">
        <f t="shared" si="21"/>
        <v>#REF!</v>
      </c>
    </row>
    <row r="45" spans="2:28" ht="20.25">
      <c r="B45" s="112" t="s">
        <v>49</v>
      </c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4"/>
    </row>
    <row r="46" spans="2:28" ht="15.75">
      <c r="B46" s="47" t="s">
        <v>45</v>
      </c>
      <c r="C46" s="64">
        <v>0</v>
      </c>
      <c r="D46" s="64">
        <v>0</v>
      </c>
      <c r="E46" s="65">
        <v>0</v>
      </c>
      <c r="F46" s="65">
        <v>0</v>
      </c>
      <c r="G46" s="24">
        <f>SUM(C46+E46)</f>
        <v>0</v>
      </c>
      <c r="H46" s="24">
        <f>SUM(D46+F46)</f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  <c r="O46" s="65">
        <v>0</v>
      </c>
      <c r="P46" s="65">
        <v>0</v>
      </c>
      <c r="Q46" s="65">
        <v>0</v>
      </c>
      <c r="R46" s="65">
        <v>0</v>
      </c>
      <c r="S46" s="24">
        <f>SUM(G46-I46-K46-M46-O46-Q46)</f>
        <v>0</v>
      </c>
      <c r="T46" s="24">
        <f>SUM(H46-J46-L46-N46-P46-R46)</f>
        <v>0</v>
      </c>
      <c r="U46" s="24">
        <f>SUM(S46)</f>
        <v>0</v>
      </c>
      <c r="V46" s="24">
        <f>SUM(T46)</f>
        <v>0</v>
      </c>
      <c r="W46" s="65">
        <v>0</v>
      </c>
      <c r="X46" s="65">
        <v>0</v>
      </c>
      <c r="Y46" s="17" t="e">
        <f>AVERAGE(W46*100/U46)</f>
        <v>#DIV/0!</v>
      </c>
      <c r="Z46" s="17" t="e">
        <f>AVERAGE(X46*100/V46)</f>
        <v>#DIV/0!</v>
      </c>
      <c r="AA46" s="17" t="e">
        <f>AVERAGE(I46*100/G46)</f>
        <v>#DIV/0!</v>
      </c>
      <c r="AB46" s="17" t="e">
        <f>AVERAGE(J46*100/H46)</f>
        <v>#DIV/0!</v>
      </c>
    </row>
    <row r="47" spans="2:28" ht="15.75">
      <c r="B47" s="47" t="s">
        <v>46</v>
      </c>
      <c r="C47" s="48">
        <v>0</v>
      </c>
      <c r="D47" s="48">
        <v>0</v>
      </c>
      <c r="E47" s="22">
        <v>0</v>
      </c>
      <c r="F47" s="22">
        <v>0</v>
      </c>
      <c r="G47" s="15">
        <f t="shared" ref="G47:G48" si="23">SUM(C47+E47)</f>
        <v>0</v>
      </c>
      <c r="H47" s="15">
        <f t="shared" ref="H47:H48" si="24">SUM(D47+F47)</f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15">
        <f t="shared" ref="S47:T48" si="25">SUM(G47-I47-K47-M47-O47-Q47)</f>
        <v>0</v>
      </c>
      <c r="T47" s="15">
        <f t="shared" si="25"/>
        <v>0</v>
      </c>
      <c r="U47" s="15">
        <f t="shared" ref="U47:V48" si="26">SUM(S47)</f>
        <v>0</v>
      </c>
      <c r="V47" s="15">
        <f t="shared" si="26"/>
        <v>0</v>
      </c>
      <c r="W47" s="22">
        <v>0</v>
      </c>
      <c r="X47" s="22">
        <v>0</v>
      </c>
      <c r="Y47" s="17" t="e">
        <f t="shared" ref="Y47:Z48" si="27">AVERAGE(W47*100/U47)</f>
        <v>#DIV/0!</v>
      </c>
      <c r="Z47" s="17" t="e">
        <f t="shared" si="27"/>
        <v>#DIV/0!</v>
      </c>
      <c r="AA47" s="17" t="e">
        <f t="shared" ref="AA47:AB48" si="28">AVERAGE(I47*100/G47)</f>
        <v>#DIV/0!</v>
      </c>
      <c r="AB47" s="17" t="e">
        <f t="shared" si="28"/>
        <v>#DIV/0!</v>
      </c>
    </row>
    <row r="48" spans="2:28" ht="16.5">
      <c r="B48" s="51" t="s">
        <v>47</v>
      </c>
      <c r="C48" s="66">
        <v>0</v>
      </c>
      <c r="D48" s="66">
        <v>0</v>
      </c>
      <c r="E48" s="25">
        <v>0</v>
      </c>
      <c r="F48" s="25">
        <v>0</v>
      </c>
      <c r="G48" s="15">
        <f t="shared" si="23"/>
        <v>0</v>
      </c>
      <c r="H48" s="15">
        <f t="shared" si="24"/>
        <v>0</v>
      </c>
      <c r="I48" s="25">
        <v>0</v>
      </c>
      <c r="J48" s="25">
        <v>0</v>
      </c>
      <c r="K48" s="25">
        <v>0</v>
      </c>
      <c r="L48" s="25">
        <v>0</v>
      </c>
      <c r="M48" s="25">
        <v>0</v>
      </c>
      <c r="N48" s="25">
        <v>0</v>
      </c>
      <c r="O48" s="25">
        <v>0</v>
      </c>
      <c r="P48" s="25">
        <v>0</v>
      </c>
      <c r="Q48" s="25">
        <v>0</v>
      </c>
      <c r="R48" s="25">
        <v>0</v>
      </c>
      <c r="S48" s="15">
        <f t="shared" si="25"/>
        <v>0</v>
      </c>
      <c r="T48" s="15">
        <f t="shared" si="25"/>
        <v>0</v>
      </c>
      <c r="U48" s="15">
        <f t="shared" si="26"/>
        <v>0</v>
      </c>
      <c r="V48" s="15">
        <f t="shared" si="26"/>
        <v>0</v>
      </c>
      <c r="W48" s="25">
        <v>0</v>
      </c>
      <c r="X48" s="25">
        <v>0</v>
      </c>
      <c r="Y48" s="17" t="e">
        <f t="shared" si="27"/>
        <v>#DIV/0!</v>
      </c>
      <c r="Z48" s="17" t="e">
        <f t="shared" si="27"/>
        <v>#DIV/0!</v>
      </c>
      <c r="AA48" s="17" t="e">
        <f t="shared" si="28"/>
        <v>#DIV/0!</v>
      </c>
      <c r="AB48" s="17" t="e">
        <f t="shared" si="28"/>
        <v>#DIV/0!</v>
      </c>
    </row>
    <row r="49" spans="2:28" ht="16.5">
      <c r="B49" s="67" t="s">
        <v>54</v>
      </c>
      <c r="C49" s="68">
        <f>SUM(C45:C48)</f>
        <v>0</v>
      </c>
      <c r="D49" s="68">
        <f>SUM(D45:D48)</f>
        <v>0</v>
      </c>
      <c r="E49" s="68">
        <f>SUM(E45:E48)</f>
        <v>0</v>
      </c>
      <c r="F49" s="68">
        <f>SUM(F45:F48)</f>
        <v>0</v>
      </c>
      <c r="G49" s="68">
        <f t="shared" si="16"/>
        <v>0</v>
      </c>
      <c r="H49" s="68">
        <f t="shared" si="17"/>
        <v>0</v>
      </c>
      <c r="I49" s="68">
        <f t="shared" ref="I49:R49" si="29">SUM(I45:I48)</f>
        <v>0</v>
      </c>
      <c r="J49" s="68">
        <f t="shared" si="29"/>
        <v>0</v>
      </c>
      <c r="K49" s="68">
        <f t="shared" si="29"/>
        <v>0</v>
      </c>
      <c r="L49" s="68">
        <f t="shared" si="29"/>
        <v>0</v>
      </c>
      <c r="M49" s="68">
        <f t="shared" si="29"/>
        <v>0</v>
      </c>
      <c r="N49" s="68">
        <f t="shared" si="29"/>
        <v>0</v>
      </c>
      <c r="O49" s="68">
        <f t="shared" si="29"/>
        <v>0</v>
      </c>
      <c r="P49" s="68">
        <f t="shared" si="29"/>
        <v>0</v>
      </c>
      <c r="Q49" s="68">
        <f t="shared" si="29"/>
        <v>0</v>
      </c>
      <c r="R49" s="68">
        <f t="shared" si="29"/>
        <v>0</v>
      </c>
      <c r="S49" s="68">
        <f t="shared" si="18"/>
        <v>0</v>
      </c>
      <c r="T49" s="68">
        <f t="shared" si="18"/>
        <v>0</v>
      </c>
      <c r="U49" s="68">
        <f t="shared" si="19"/>
        <v>0</v>
      </c>
      <c r="V49" s="68">
        <f t="shared" si="19"/>
        <v>0</v>
      </c>
      <c r="W49" s="68">
        <f>SUM(W45:W48)</f>
        <v>0</v>
      </c>
      <c r="X49" s="68">
        <f>SUM(X45:X48)</f>
        <v>0</v>
      </c>
      <c r="Y49" s="69" t="e">
        <f t="shared" si="20"/>
        <v>#DIV/0!</v>
      </c>
      <c r="Z49" s="69" t="e">
        <f t="shared" si="20"/>
        <v>#DIV/0!</v>
      </c>
      <c r="AA49" s="69" t="e">
        <f t="shared" si="21"/>
        <v>#DIV/0!</v>
      </c>
      <c r="AB49" s="70" t="e">
        <f t="shared" si="21"/>
        <v>#DIV/0!</v>
      </c>
    </row>
    <row r="50" spans="2:28" ht="16.5">
      <c r="B50" s="29" t="s">
        <v>9</v>
      </c>
      <c r="C50" s="20" t="e">
        <f>SUM(C44+C49)</f>
        <v>#REF!</v>
      </c>
      <c r="D50" s="20" t="e">
        <f>SUM(D44+D49)</f>
        <v>#REF!</v>
      </c>
      <c r="E50" s="20" t="e">
        <f>SUM(E44+E49)</f>
        <v>#REF!</v>
      </c>
      <c r="F50" s="20" t="e">
        <f>SUM(F44+F49)</f>
        <v>#REF!</v>
      </c>
      <c r="G50" s="20" t="e">
        <f t="shared" si="16"/>
        <v>#REF!</v>
      </c>
      <c r="H50" s="20" t="e">
        <f t="shared" si="17"/>
        <v>#REF!</v>
      </c>
      <c r="I50" s="20" t="e">
        <f t="shared" ref="I50:R50" si="30">SUM(I44+I49)</f>
        <v>#REF!</v>
      </c>
      <c r="J50" s="20" t="e">
        <f t="shared" si="30"/>
        <v>#REF!</v>
      </c>
      <c r="K50" s="20" t="e">
        <f t="shared" si="30"/>
        <v>#REF!</v>
      </c>
      <c r="L50" s="20" t="e">
        <f t="shared" si="30"/>
        <v>#REF!</v>
      </c>
      <c r="M50" s="20" t="e">
        <f t="shared" si="30"/>
        <v>#REF!</v>
      </c>
      <c r="N50" s="20" t="e">
        <f t="shared" si="30"/>
        <v>#REF!</v>
      </c>
      <c r="O50" s="20" t="e">
        <f t="shared" si="30"/>
        <v>#REF!</v>
      </c>
      <c r="P50" s="20" t="e">
        <f t="shared" si="30"/>
        <v>#REF!</v>
      </c>
      <c r="Q50" s="20" t="e">
        <f t="shared" si="30"/>
        <v>#REF!</v>
      </c>
      <c r="R50" s="20" t="e">
        <f t="shared" si="30"/>
        <v>#REF!</v>
      </c>
      <c r="S50" s="20" t="e">
        <f t="shared" si="18"/>
        <v>#REF!</v>
      </c>
      <c r="T50" s="20" t="e">
        <f t="shared" si="18"/>
        <v>#REF!</v>
      </c>
      <c r="U50" s="20" t="e">
        <f t="shared" si="19"/>
        <v>#REF!</v>
      </c>
      <c r="V50" s="20" t="e">
        <f t="shared" si="19"/>
        <v>#REF!</v>
      </c>
      <c r="W50" s="20" t="e">
        <f>SUM(W44+W49)</f>
        <v>#REF!</v>
      </c>
      <c r="X50" s="20" t="e">
        <f>SUM(X44+X49)</f>
        <v>#REF!</v>
      </c>
      <c r="Y50" s="21" t="e">
        <f t="shared" si="20"/>
        <v>#REF!</v>
      </c>
      <c r="Z50" s="21" t="e">
        <f t="shared" si="20"/>
        <v>#REF!</v>
      </c>
      <c r="AA50" s="21" t="e">
        <f t="shared" si="21"/>
        <v>#REF!</v>
      </c>
      <c r="AB50" s="54" t="e">
        <f t="shared" si="21"/>
        <v>#REF!</v>
      </c>
    </row>
    <row r="54" spans="2:28" ht="30">
      <c r="B54" s="116" t="s">
        <v>55</v>
      </c>
      <c r="C54" s="116"/>
      <c r="D54" s="116"/>
      <c r="E54" s="116"/>
      <c r="F54" s="116"/>
      <c r="G54" s="116"/>
      <c r="H54" s="116"/>
      <c r="I54" s="116"/>
      <c r="J54" s="116"/>
      <c r="K54" s="116"/>
      <c r="L54" s="116"/>
      <c r="M54" s="116"/>
      <c r="N54" s="116"/>
      <c r="O54" s="116"/>
      <c r="P54" s="116"/>
      <c r="Q54" s="116"/>
      <c r="R54" s="116"/>
      <c r="S54" s="116"/>
      <c r="T54" s="116"/>
      <c r="U54" s="116"/>
      <c r="V54" s="116"/>
      <c r="W54" s="116"/>
      <c r="X54" s="116"/>
      <c r="Y54" s="116"/>
      <c r="Z54" s="116"/>
      <c r="AA54" s="116"/>
      <c r="AB54" s="116"/>
    </row>
    <row r="55" spans="2:28" ht="15.75">
      <c r="B55" s="36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2:28" ht="25.5">
      <c r="B56" s="111" t="s">
        <v>37</v>
      </c>
      <c r="C56" s="111"/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</row>
    <row r="57" spans="2:28" ht="16.5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2:28">
      <c r="B58" s="91" t="s">
        <v>7</v>
      </c>
      <c r="C58" s="101">
        <v>44258</v>
      </c>
      <c r="D58" s="98"/>
      <c r="E58" s="94" t="s">
        <v>40</v>
      </c>
      <c r="F58" s="95"/>
      <c r="G58" s="94" t="s">
        <v>9</v>
      </c>
      <c r="H58" s="95"/>
      <c r="I58" s="97" t="s">
        <v>10</v>
      </c>
      <c r="J58" s="98"/>
      <c r="K58" s="97" t="s">
        <v>11</v>
      </c>
      <c r="L58" s="98"/>
      <c r="M58" s="97" t="s">
        <v>12</v>
      </c>
      <c r="N58" s="98"/>
      <c r="O58" s="94" t="s">
        <v>41</v>
      </c>
      <c r="P58" s="95"/>
      <c r="Q58" s="97" t="s">
        <v>14</v>
      </c>
      <c r="R58" s="98"/>
      <c r="S58" s="94" t="s">
        <v>15</v>
      </c>
      <c r="T58" s="95"/>
      <c r="U58" s="97" t="s">
        <v>16</v>
      </c>
      <c r="V58" s="98"/>
      <c r="W58" s="94" t="s">
        <v>43</v>
      </c>
      <c r="X58" s="95"/>
      <c r="Y58" s="89" t="s">
        <v>44</v>
      </c>
      <c r="Z58" s="108"/>
      <c r="AA58" s="89" t="s">
        <v>19</v>
      </c>
      <c r="AB58" s="90"/>
    </row>
    <row r="59" spans="2:28" ht="15.75">
      <c r="B59" s="92"/>
      <c r="C59" s="44" t="s">
        <v>20</v>
      </c>
      <c r="D59" s="44" t="s">
        <v>21</v>
      </c>
      <c r="E59" s="44" t="s">
        <v>20</v>
      </c>
      <c r="F59" s="44" t="s">
        <v>21</v>
      </c>
      <c r="G59" s="44" t="s">
        <v>20</v>
      </c>
      <c r="H59" s="44" t="s">
        <v>21</v>
      </c>
      <c r="I59" s="44" t="s">
        <v>20</v>
      </c>
      <c r="J59" s="44" t="s">
        <v>21</v>
      </c>
      <c r="K59" s="44" t="s">
        <v>20</v>
      </c>
      <c r="L59" s="44" t="s">
        <v>21</v>
      </c>
      <c r="M59" s="44" t="s">
        <v>20</v>
      </c>
      <c r="N59" s="44" t="s">
        <v>21</v>
      </c>
      <c r="O59" s="44" t="s">
        <v>20</v>
      </c>
      <c r="P59" s="44" t="s">
        <v>21</v>
      </c>
      <c r="Q59" s="44" t="s">
        <v>20</v>
      </c>
      <c r="R59" s="44" t="s">
        <v>21</v>
      </c>
      <c r="S59" s="44" t="s">
        <v>20</v>
      </c>
      <c r="T59" s="44" t="s">
        <v>21</v>
      </c>
      <c r="U59" s="44" t="s">
        <v>20</v>
      </c>
      <c r="V59" s="44" t="s">
        <v>21</v>
      </c>
      <c r="W59" s="44" t="s">
        <v>20</v>
      </c>
      <c r="X59" s="44" t="s">
        <v>21</v>
      </c>
      <c r="Y59" s="45" t="s">
        <v>20</v>
      </c>
      <c r="Z59" s="45" t="s">
        <v>21</v>
      </c>
      <c r="AA59" s="45" t="s">
        <v>20</v>
      </c>
      <c r="AB59" s="46" t="s">
        <v>21</v>
      </c>
    </row>
    <row r="60" spans="2:28" ht="20.25">
      <c r="B60" s="117" t="s">
        <v>22</v>
      </c>
      <c r="C60" s="118"/>
      <c r="D60" s="118"/>
      <c r="E60" s="118"/>
      <c r="F60" s="118"/>
      <c r="G60" s="118"/>
      <c r="H60" s="118"/>
      <c r="I60" s="118"/>
      <c r="J60" s="118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  <c r="AA60" s="118"/>
      <c r="AB60" s="119"/>
    </row>
    <row r="61" spans="2:28" ht="15.75">
      <c r="B61" s="47" t="s">
        <v>45</v>
      </c>
      <c r="C61" s="48" t="e">
        <f>SUM(C41+C20)</f>
        <v>#REF!</v>
      </c>
      <c r="D61" s="48" t="e">
        <f t="shared" ref="D61:X61" si="31">SUM(D41+D20)</f>
        <v>#REF!</v>
      </c>
      <c r="E61" s="16" t="e">
        <f t="shared" si="31"/>
        <v>#REF!</v>
      </c>
      <c r="F61" s="16" t="e">
        <f t="shared" si="31"/>
        <v>#REF!</v>
      </c>
      <c r="G61" s="48" t="e">
        <f t="shared" si="31"/>
        <v>#REF!</v>
      </c>
      <c r="H61" s="48" t="e">
        <f t="shared" si="31"/>
        <v>#REF!</v>
      </c>
      <c r="I61" s="16" t="e">
        <f t="shared" si="31"/>
        <v>#REF!</v>
      </c>
      <c r="J61" s="16" t="e">
        <f t="shared" si="31"/>
        <v>#REF!</v>
      </c>
      <c r="K61" s="16" t="e">
        <f t="shared" si="31"/>
        <v>#REF!</v>
      </c>
      <c r="L61" s="16" t="e">
        <f t="shared" si="31"/>
        <v>#REF!</v>
      </c>
      <c r="M61" s="16" t="e">
        <f t="shared" si="31"/>
        <v>#REF!</v>
      </c>
      <c r="N61" s="16" t="e">
        <f t="shared" si="31"/>
        <v>#REF!</v>
      </c>
      <c r="O61" s="16" t="e">
        <f t="shared" si="31"/>
        <v>#REF!</v>
      </c>
      <c r="P61" s="16" t="e">
        <f t="shared" si="31"/>
        <v>#REF!</v>
      </c>
      <c r="Q61" s="16" t="e">
        <f t="shared" si="31"/>
        <v>#REF!</v>
      </c>
      <c r="R61" s="16" t="e">
        <f t="shared" si="31"/>
        <v>#REF!</v>
      </c>
      <c r="S61" s="48" t="e">
        <f t="shared" si="31"/>
        <v>#REF!</v>
      </c>
      <c r="T61" s="48" t="e">
        <f t="shared" si="31"/>
        <v>#REF!</v>
      </c>
      <c r="U61" s="48" t="e">
        <f t="shared" si="31"/>
        <v>#REF!</v>
      </c>
      <c r="V61" s="48" t="e">
        <f t="shared" si="31"/>
        <v>#REF!</v>
      </c>
      <c r="W61" s="16" t="e">
        <f t="shared" si="31"/>
        <v>#REF!</v>
      </c>
      <c r="X61" s="16" t="e">
        <f t="shared" si="31"/>
        <v>#REF!</v>
      </c>
      <c r="Y61" s="17" t="e">
        <f>AVERAGE(W61*100/U61)</f>
        <v>#REF!</v>
      </c>
      <c r="Z61" s="17" t="e">
        <f>AVERAGE(X61*100/V61)</f>
        <v>#REF!</v>
      </c>
      <c r="AA61" s="17" t="e">
        <f>AVERAGE(I61*100/G61)</f>
        <v>#REF!</v>
      </c>
      <c r="AB61" s="18" t="e">
        <f>AVERAGE(J61*100/H61)</f>
        <v>#REF!</v>
      </c>
    </row>
    <row r="62" spans="2:28" ht="15.75">
      <c r="B62" s="47" t="s">
        <v>46</v>
      </c>
      <c r="C62" s="48" t="e">
        <f>SUM(C42+C21)</f>
        <v>#REF!</v>
      </c>
      <c r="D62" s="48" t="e">
        <f t="shared" ref="D62:X62" si="32">SUM(D42+D21)</f>
        <v>#REF!</v>
      </c>
      <c r="E62" s="16" t="e">
        <f t="shared" si="32"/>
        <v>#REF!</v>
      </c>
      <c r="F62" s="16" t="e">
        <f t="shared" si="32"/>
        <v>#REF!</v>
      </c>
      <c r="G62" s="48" t="e">
        <f t="shared" si="32"/>
        <v>#REF!</v>
      </c>
      <c r="H62" s="48" t="e">
        <f t="shared" si="32"/>
        <v>#REF!</v>
      </c>
      <c r="I62" s="16" t="e">
        <f t="shared" si="32"/>
        <v>#REF!</v>
      </c>
      <c r="J62" s="16" t="e">
        <f t="shared" si="32"/>
        <v>#REF!</v>
      </c>
      <c r="K62" s="16" t="e">
        <f t="shared" si="32"/>
        <v>#REF!</v>
      </c>
      <c r="L62" s="16" t="e">
        <f t="shared" si="32"/>
        <v>#REF!</v>
      </c>
      <c r="M62" s="16" t="e">
        <f t="shared" si="32"/>
        <v>#REF!</v>
      </c>
      <c r="N62" s="16" t="e">
        <f t="shared" si="32"/>
        <v>#REF!</v>
      </c>
      <c r="O62" s="16" t="e">
        <f t="shared" si="32"/>
        <v>#REF!</v>
      </c>
      <c r="P62" s="16" t="e">
        <f t="shared" si="32"/>
        <v>#REF!</v>
      </c>
      <c r="Q62" s="16" t="e">
        <f t="shared" si="32"/>
        <v>#REF!</v>
      </c>
      <c r="R62" s="16" t="e">
        <f t="shared" si="32"/>
        <v>#REF!</v>
      </c>
      <c r="S62" s="48" t="e">
        <f t="shared" si="32"/>
        <v>#REF!</v>
      </c>
      <c r="T62" s="48" t="e">
        <f t="shared" si="32"/>
        <v>#REF!</v>
      </c>
      <c r="U62" s="48" t="e">
        <f t="shared" si="32"/>
        <v>#REF!</v>
      </c>
      <c r="V62" s="48" t="e">
        <f t="shared" si="32"/>
        <v>#REF!</v>
      </c>
      <c r="W62" s="16" t="e">
        <f t="shared" si="32"/>
        <v>#REF!</v>
      </c>
      <c r="X62" s="16" t="e">
        <f t="shared" si="32"/>
        <v>#REF!</v>
      </c>
      <c r="Y62" s="17" t="e">
        <f t="shared" ref="Y62:Y64" si="33">AVERAGE(W62*100/U62)</f>
        <v>#REF!</v>
      </c>
      <c r="Z62" s="17" t="e">
        <f t="shared" ref="Z62:Z64" si="34">AVERAGE(X62*100/V62)</f>
        <v>#REF!</v>
      </c>
      <c r="AA62" s="17" t="e">
        <f t="shared" ref="AA62:AA64" si="35">AVERAGE(I62*100/G62)</f>
        <v>#REF!</v>
      </c>
      <c r="AB62" s="18" t="e">
        <f t="shared" ref="AB62:AB64" si="36">AVERAGE(J62*100/H62)</f>
        <v>#REF!</v>
      </c>
    </row>
    <row r="63" spans="2:28" ht="16.5">
      <c r="B63" s="51" t="s">
        <v>47</v>
      </c>
      <c r="C63" s="48" t="e">
        <f>SUM(C43+C22)</f>
        <v>#REF!</v>
      </c>
      <c r="D63" s="48" t="e">
        <f t="shared" ref="D63:X63" si="37">SUM(D43+D22)</f>
        <v>#REF!</v>
      </c>
      <c r="E63" s="16" t="e">
        <f t="shared" si="37"/>
        <v>#REF!</v>
      </c>
      <c r="F63" s="16" t="e">
        <f t="shared" si="37"/>
        <v>#REF!</v>
      </c>
      <c r="G63" s="48" t="e">
        <f t="shared" si="37"/>
        <v>#REF!</v>
      </c>
      <c r="H63" s="48" t="e">
        <f t="shared" si="37"/>
        <v>#REF!</v>
      </c>
      <c r="I63" s="16" t="e">
        <f t="shared" si="37"/>
        <v>#REF!</v>
      </c>
      <c r="J63" s="16" t="e">
        <f t="shared" si="37"/>
        <v>#REF!</v>
      </c>
      <c r="K63" s="16" t="e">
        <f t="shared" si="37"/>
        <v>#REF!</v>
      </c>
      <c r="L63" s="16" t="e">
        <f t="shared" si="37"/>
        <v>#REF!</v>
      </c>
      <c r="M63" s="16" t="e">
        <f t="shared" si="37"/>
        <v>#REF!</v>
      </c>
      <c r="N63" s="16" t="e">
        <f t="shared" si="37"/>
        <v>#REF!</v>
      </c>
      <c r="O63" s="16" t="e">
        <f t="shared" si="37"/>
        <v>#REF!</v>
      </c>
      <c r="P63" s="16" t="e">
        <f t="shared" si="37"/>
        <v>#REF!</v>
      </c>
      <c r="Q63" s="16" t="e">
        <f t="shared" si="37"/>
        <v>#REF!</v>
      </c>
      <c r="R63" s="16" t="e">
        <f t="shared" si="37"/>
        <v>#REF!</v>
      </c>
      <c r="S63" s="48" t="e">
        <f t="shared" si="37"/>
        <v>#REF!</v>
      </c>
      <c r="T63" s="48" t="e">
        <f t="shared" si="37"/>
        <v>#REF!</v>
      </c>
      <c r="U63" s="48" t="e">
        <f t="shared" si="37"/>
        <v>#REF!</v>
      </c>
      <c r="V63" s="48" t="e">
        <f t="shared" si="37"/>
        <v>#REF!</v>
      </c>
      <c r="W63" s="16" t="e">
        <f t="shared" si="37"/>
        <v>#REF!</v>
      </c>
      <c r="X63" s="16" t="e">
        <f t="shared" si="37"/>
        <v>#REF!</v>
      </c>
      <c r="Y63" s="27" t="e">
        <f t="shared" si="33"/>
        <v>#REF!</v>
      </c>
      <c r="Z63" s="27" t="e">
        <f t="shared" si="34"/>
        <v>#REF!</v>
      </c>
      <c r="AA63" s="27" t="e">
        <f t="shared" si="35"/>
        <v>#REF!</v>
      </c>
      <c r="AB63" s="28" t="e">
        <f t="shared" si="36"/>
        <v>#REF!</v>
      </c>
    </row>
    <row r="64" spans="2:28" ht="16.5">
      <c r="B64" s="19" t="s">
        <v>53</v>
      </c>
      <c r="C64" s="20" t="e">
        <f>SUM(C61:C63)</f>
        <v>#REF!</v>
      </c>
      <c r="D64" s="20" t="e">
        <f>SUM(D61:D63)</f>
        <v>#REF!</v>
      </c>
      <c r="E64" s="20" t="e">
        <f>SUM(E61:E63)</f>
        <v>#REF!</v>
      </c>
      <c r="F64" s="20" t="e">
        <f>SUM(F61:F63)</f>
        <v>#REF!</v>
      </c>
      <c r="G64" s="20" t="e">
        <f t="shared" ref="G64" si="38">SUM(C64+E64)</f>
        <v>#REF!</v>
      </c>
      <c r="H64" s="20" t="e">
        <f t="shared" ref="H64" si="39">SUM(D64+F64)</f>
        <v>#REF!</v>
      </c>
      <c r="I64" s="20" t="e">
        <f t="shared" ref="I64:R64" si="40">SUM(I61:I63)</f>
        <v>#REF!</v>
      </c>
      <c r="J64" s="20" t="e">
        <f t="shared" si="40"/>
        <v>#REF!</v>
      </c>
      <c r="K64" s="20" t="e">
        <f t="shared" si="40"/>
        <v>#REF!</v>
      </c>
      <c r="L64" s="20" t="e">
        <f t="shared" si="40"/>
        <v>#REF!</v>
      </c>
      <c r="M64" s="20" t="e">
        <f t="shared" si="40"/>
        <v>#REF!</v>
      </c>
      <c r="N64" s="20" t="e">
        <f t="shared" si="40"/>
        <v>#REF!</v>
      </c>
      <c r="O64" s="20" t="e">
        <f t="shared" si="40"/>
        <v>#REF!</v>
      </c>
      <c r="P64" s="20" t="e">
        <f t="shared" si="40"/>
        <v>#REF!</v>
      </c>
      <c r="Q64" s="20" t="e">
        <f t="shared" si="40"/>
        <v>#REF!</v>
      </c>
      <c r="R64" s="20" t="e">
        <f t="shared" si="40"/>
        <v>#REF!</v>
      </c>
      <c r="S64" s="20" t="e">
        <f t="shared" ref="S64" si="41">SUM(G64-I64-K64-M64-O64-Q64)</f>
        <v>#REF!</v>
      </c>
      <c r="T64" s="20" t="e">
        <f t="shared" ref="T64" si="42">SUM(H64-J64-L64-N64-P64-R64)</f>
        <v>#REF!</v>
      </c>
      <c r="U64" s="20" t="e">
        <f t="shared" ref="U64" si="43">SUM(S64)</f>
        <v>#REF!</v>
      </c>
      <c r="V64" s="20" t="e">
        <f t="shared" ref="V64" si="44">SUM(T64)</f>
        <v>#REF!</v>
      </c>
      <c r="W64" s="20" t="e">
        <f>SUM(W61:W63)</f>
        <v>#REF!</v>
      </c>
      <c r="X64" s="20" t="e">
        <f>SUM(X61:X63)</f>
        <v>#REF!</v>
      </c>
      <c r="Y64" s="21" t="e">
        <f t="shared" si="33"/>
        <v>#REF!</v>
      </c>
      <c r="Z64" s="21" t="e">
        <f t="shared" si="34"/>
        <v>#REF!</v>
      </c>
      <c r="AA64" s="21" t="e">
        <f t="shared" si="35"/>
        <v>#REF!</v>
      </c>
      <c r="AB64" s="54" t="e">
        <f t="shared" si="36"/>
        <v>#REF!</v>
      </c>
    </row>
    <row r="65" spans="2:28" ht="20.25">
      <c r="B65" s="112" t="s">
        <v>49</v>
      </c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Z65" s="113"/>
      <c r="AA65" s="113"/>
      <c r="AB65" s="114"/>
    </row>
    <row r="66" spans="2:28" ht="15.75">
      <c r="B66" s="47" t="s">
        <v>45</v>
      </c>
      <c r="C66" s="64" t="e">
        <f>SUM(C46++C25)</f>
        <v>#REF!</v>
      </c>
      <c r="D66" s="64" t="e">
        <f t="shared" ref="D66:X66" si="45">SUM(D46++D25)</f>
        <v>#REF!</v>
      </c>
      <c r="E66" s="65" t="e">
        <f t="shared" si="45"/>
        <v>#REF!</v>
      </c>
      <c r="F66" s="65" t="e">
        <f t="shared" si="45"/>
        <v>#REF!</v>
      </c>
      <c r="G66" s="64" t="e">
        <f t="shared" si="45"/>
        <v>#REF!</v>
      </c>
      <c r="H66" s="64" t="e">
        <f t="shared" si="45"/>
        <v>#REF!</v>
      </c>
      <c r="I66" s="65" t="e">
        <f t="shared" si="45"/>
        <v>#REF!</v>
      </c>
      <c r="J66" s="65" t="e">
        <f t="shared" si="45"/>
        <v>#REF!</v>
      </c>
      <c r="K66" s="65" t="e">
        <f t="shared" si="45"/>
        <v>#REF!</v>
      </c>
      <c r="L66" s="65" t="e">
        <f t="shared" si="45"/>
        <v>#REF!</v>
      </c>
      <c r="M66" s="65" t="e">
        <f t="shared" si="45"/>
        <v>#REF!</v>
      </c>
      <c r="N66" s="65" t="e">
        <f t="shared" si="45"/>
        <v>#REF!</v>
      </c>
      <c r="O66" s="65" t="e">
        <f t="shared" si="45"/>
        <v>#REF!</v>
      </c>
      <c r="P66" s="65" t="e">
        <f t="shared" si="45"/>
        <v>#REF!</v>
      </c>
      <c r="Q66" s="65" t="e">
        <f t="shared" si="45"/>
        <v>#REF!</v>
      </c>
      <c r="R66" s="65" t="e">
        <f t="shared" si="45"/>
        <v>#REF!</v>
      </c>
      <c r="S66" s="64" t="e">
        <f t="shared" si="45"/>
        <v>#REF!</v>
      </c>
      <c r="T66" s="64" t="e">
        <f t="shared" si="45"/>
        <v>#REF!</v>
      </c>
      <c r="U66" s="64" t="e">
        <f t="shared" si="45"/>
        <v>#REF!</v>
      </c>
      <c r="V66" s="64" t="e">
        <f t="shared" si="45"/>
        <v>#REF!</v>
      </c>
      <c r="W66" s="65" t="e">
        <f t="shared" si="45"/>
        <v>#REF!</v>
      </c>
      <c r="X66" s="65" t="e">
        <f t="shared" si="45"/>
        <v>#REF!</v>
      </c>
      <c r="Y66" s="17" t="e">
        <f>AVERAGE(W66*100/U66)</f>
        <v>#REF!</v>
      </c>
      <c r="Z66" s="17" t="e">
        <f>AVERAGE(X66*100/V66)</f>
        <v>#REF!</v>
      </c>
      <c r="AA66" s="17" t="e">
        <f>AVERAGE(I66*100/G66)</f>
        <v>#REF!</v>
      </c>
      <c r="AB66" s="17" t="e">
        <f>AVERAGE(J66*100/H66)</f>
        <v>#REF!</v>
      </c>
    </row>
    <row r="67" spans="2:28" ht="15.75">
      <c r="B67" s="47" t="s">
        <v>46</v>
      </c>
      <c r="C67" s="48" t="e">
        <f>SUM(C47+C26)</f>
        <v>#REF!</v>
      </c>
      <c r="D67" s="48" t="e">
        <f t="shared" ref="D67:X67" si="46">SUM(D47+D26)</f>
        <v>#REF!</v>
      </c>
      <c r="E67" s="22" t="e">
        <f t="shared" si="46"/>
        <v>#REF!</v>
      </c>
      <c r="F67" s="22" t="e">
        <f t="shared" si="46"/>
        <v>#REF!</v>
      </c>
      <c r="G67" s="48" t="e">
        <f t="shared" si="46"/>
        <v>#REF!</v>
      </c>
      <c r="H67" s="48" t="e">
        <f t="shared" si="46"/>
        <v>#REF!</v>
      </c>
      <c r="I67" s="22" t="e">
        <f t="shared" si="46"/>
        <v>#REF!</v>
      </c>
      <c r="J67" s="22" t="e">
        <f t="shared" si="46"/>
        <v>#REF!</v>
      </c>
      <c r="K67" s="22" t="e">
        <f t="shared" si="46"/>
        <v>#REF!</v>
      </c>
      <c r="L67" s="22" t="e">
        <f t="shared" si="46"/>
        <v>#REF!</v>
      </c>
      <c r="M67" s="22" t="e">
        <f t="shared" si="46"/>
        <v>#REF!</v>
      </c>
      <c r="N67" s="22" t="e">
        <f t="shared" si="46"/>
        <v>#REF!</v>
      </c>
      <c r="O67" s="22" t="e">
        <f t="shared" si="46"/>
        <v>#REF!</v>
      </c>
      <c r="P67" s="22" t="e">
        <f t="shared" si="46"/>
        <v>#REF!</v>
      </c>
      <c r="Q67" s="22" t="e">
        <f t="shared" si="46"/>
        <v>#REF!</v>
      </c>
      <c r="R67" s="22" t="e">
        <f t="shared" si="46"/>
        <v>#REF!</v>
      </c>
      <c r="S67" s="48" t="e">
        <f t="shared" si="46"/>
        <v>#REF!</v>
      </c>
      <c r="T67" s="48" t="e">
        <f t="shared" si="46"/>
        <v>#REF!</v>
      </c>
      <c r="U67" s="48" t="e">
        <f t="shared" si="46"/>
        <v>#REF!</v>
      </c>
      <c r="V67" s="48" t="e">
        <f t="shared" si="46"/>
        <v>#REF!</v>
      </c>
      <c r="W67" s="22" t="e">
        <f t="shared" si="46"/>
        <v>#REF!</v>
      </c>
      <c r="X67" s="22" t="e">
        <f t="shared" si="46"/>
        <v>#REF!</v>
      </c>
      <c r="Y67" s="17" t="e">
        <f t="shared" ref="Y67:Y70" si="47">AVERAGE(W67*100/U67)</f>
        <v>#REF!</v>
      </c>
      <c r="Z67" s="17" t="e">
        <f t="shared" ref="Z67:Z70" si="48">AVERAGE(X67*100/V67)</f>
        <v>#REF!</v>
      </c>
      <c r="AA67" s="17" t="e">
        <f t="shared" ref="AA67:AA70" si="49">AVERAGE(I67*100/G67)</f>
        <v>#REF!</v>
      </c>
      <c r="AB67" s="17" t="e">
        <f t="shared" ref="AB67:AB70" si="50">AVERAGE(J67*100/H67)</f>
        <v>#REF!</v>
      </c>
    </row>
    <row r="68" spans="2:28" ht="16.5">
      <c r="B68" s="51" t="s">
        <v>47</v>
      </c>
      <c r="C68" s="66" t="e">
        <f>SUM(C48+C27)</f>
        <v>#REF!</v>
      </c>
      <c r="D68" s="66" t="e">
        <f t="shared" ref="D68:X68" si="51">SUM(D48+D27)</f>
        <v>#REF!</v>
      </c>
      <c r="E68" s="25" t="e">
        <f t="shared" si="51"/>
        <v>#REF!</v>
      </c>
      <c r="F68" s="25" t="e">
        <f t="shared" si="51"/>
        <v>#REF!</v>
      </c>
      <c r="G68" s="66" t="e">
        <f t="shared" si="51"/>
        <v>#REF!</v>
      </c>
      <c r="H68" s="66" t="e">
        <f t="shared" si="51"/>
        <v>#REF!</v>
      </c>
      <c r="I68" s="25" t="e">
        <f t="shared" si="51"/>
        <v>#REF!</v>
      </c>
      <c r="J68" s="25" t="e">
        <f t="shared" si="51"/>
        <v>#REF!</v>
      </c>
      <c r="K68" s="25" t="e">
        <f t="shared" si="51"/>
        <v>#REF!</v>
      </c>
      <c r="L68" s="25" t="e">
        <f t="shared" si="51"/>
        <v>#REF!</v>
      </c>
      <c r="M68" s="25" t="e">
        <f t="shared" si="51"/>
        <v>#REF!</v>
      </c>
      <c r="N68" s="25" t="e">
        <f t="shared" si="51"/>
        <v>#REF!</v>
      </c>
      <c r="O68" s="25" t="e">
        <f t="shared" si="51"/>
        <v>#REF!</v>
      </c>
      <c r="P68" s="25" t="e">
        <f t="shared" si="51"/>
        <v>#REF!</v>
      </c>
      <c r="Q68" s="25" t="e">
        <f t="shared" si="51"/>
        <v>#REF!</v>
      </c>
      <c r="R68" s="25" t="e">
        <f t="shared" si="51"/>
        <v>#REF!</v>
      </c>
      <c r="S68" s="66" t="e">
        <f t="shared" si="51"/>
        <v>#REF!</v>
      </c>
      <c r="T68" s="66" t="e">
        <f t="shared" si="51"/>
        <v>#REF!</v>
      </c>
      <c r="U68" s="66" t="e">
        <f t="shared" si="51"/>
        <v>#REF!</v>
      </c>
      <c r="V68" s="66" t="e">
        <f t="shared" si="51"/>
        <v>#REF!</v>
      </c>
      <c r="W68" s="25" t="e">
        <f t="shared" si="51"/>
        <v>#REF!</v>
      </c>
      <c r="X68" s="25" t="e">
        <f t="shared" si="51"/>
        <v>#REF!</v>
      </c>
      <c r="Y68" s="17" t="e">
        <f t="shared" si="47"/>
        <v>#REF!</v>
      </c>
      <c r="Z68" s="17" t="e">
        <f t="shared" si="48"/>
        <v>#REF!</v>
      </c>
      <c r="AA68" s="17" t="e">
        <f t="shared" si="49"/>
        <v>#REF!</v>
      </c>
      <c r="AB68" s="17" t="e">
        <f t="shared" si="50"/>
        <v>#REF!</v>
      </c>
    </row>
    <row r="69" spans="2:28" ht="16.5">
      <c r="B69" s="67" t="s">
        <v>54</v>
      </c>
      <c r="C69" s="68" t="e">
        <f>SUM(C65:C68)</f>
        <v>#REF!</v>
      </c>
      <c r="D69" s="68" t="e">
        <f>SUM(D65:D68)</f>
        <v>#REF!</v>
      </c>
      <c r="E69" s="68" t="e">
        <f>SUM(E65:E68)</f>
        <v>#REF!</v>
      </c>
      <c r="F69" s="68" t="e">
        <f>SUM(F65:F68)</f>
        <v>#REF!</v>
      </c>
      <c r="G69" s="68" t="e">
        <f t="shared" ref="G69:G70" si="52">SUM(C69+E69)</f>
        <v>#REF!</v>
      </c>
      <c r="H69" s="68" t="e">
        <f t="shared" ref="H69:H70" si="53">SUM(D69+F69)</f>
        <v>#REF!</v>
      </c>
      <c r="I69" s="68" t="e">
        <f t="shared" ref="I69:R69" si="54">SUM(I65:I68)</f>
        <v>#REF!</v>
      </c>
      <c r="J69" s="68" t="e">
        <f t="shared" si="54"/>
        <v>#REF!</v>
      </c>
      <c r="K69" s="68" t="e">
        <f t="shared" si="54"/>
        <v>#REF!</v>
      </c>
      <c r="L69" s="68" t="e">
        <f t="shared" si="54"/>
        <v>#REF!</v>
      </c>
      <c r="M69" s="68" t="e">
        <f t="shared" si="54"/>
        <v>#REF!</v>
      </c>
      <c r="N69" s="68" t="e">
        <f t="shared" si="54"/>
        <v>#REF!</v>
      </c>
      <c r="O69" s="68" t="e">
        <f t="shared" si="54"/>
        <v>#REF!</v>
      </c>
      <c r="P69" s="68" t="e">
        <f t="shared" si="54"/>
        <v>#REF!</v>
      </c>
      <c r="Q69" s="68" t="e">
        <f t="shared" si="54"/>
        <v>#REF!</v>
      </c>
      <c r="R69" s="68" t="e">
        <f t="shared" si="54"/>
        <v>#REF!</v>
      </c>
      <c r="S69" s="68" t="e">
        <f t="shared" ref="S69:S70" si="55">SUM(G69-I69-K69-M69-O69-Q69)</f>
        <v>#REF!</v>
      </c>
      <c r="T69" s="68" t="e">
        <f t="shared" ref="T69:T70" si="56">SUM(H69-J69-L69-N69-P69-R69)</f>
        <v>#REF!</v>
      </c>
      <c r="U69" s="68" t="e">
        <f t="shared" ref="U69:U70" si="57">SUM(S69)</f>
        <v>#REF!</v>
      </c>
      <c r="V69" s="68" t="e">
        <f t="shared" ref="V69:V70" si="58">SUM(T69)</f>
        <v>#REF!</v>
      </c>
      <c r="W69" s="68" t="e">
        <f>SUM(W65:W68)</f>
        <v>#REF!</v>
      </c>
      <c r="X69" s="68" t="e">
        <f>SUM(X65:X68)</f>
        <v>#REF!</v>
      </c>
      <c r="Y69" s="69" t="e">
        <f t="shared" si="47"/>
        <v>#REF!</v>
      </c>
      <c r="Z69" s="69" t="e">
        <f t="shared" si="48"/>
        <v>#REF!</v>
      </c>
      <c r="AA69" s="69" t="e">
        <f t="shared" si="49"/>
        <v>#REF!</v>
      </c>
      <c r="AB69" s="70" t="e">
        <f t="shared" si="50"/>
        <v>#REF!</v>
      </c>
    </row>
    <row r="70" spans="2:28" ht="16.5">
      <c r="B70" s="29" t="s">
        <v>9</v>
      </c>
      <c r="C70" s="20" t="e">
        <f>SUM(C64+C69)</f>
        <v>#REF!</v>
      </c>
      <c r="D70" s="20" t="e">
        <f>SUM(D64+D69)</f>
        <v>#REF!</v>
      </c>
      <c r="E70" s="20" t="e">
        <f>SUM(E64+E69)</f>
        <v>#REF!</v>
      </c>
      <c r="F70" s="20" t="e">
        <f>SUM(F64+F69)</f>
        <v>#REF!</v>
      </c>
      <c r="G70" s="20" t="e">
        <f t="shared" si="52"/>
        <v>#REF!</v>
      </c>
      <c r="H70" s="20" t="e">
        <f t="shared" si="53"/>
        <v>#REF!</v>
      </c>
      <c r="I70" s="20" t="e">
        <f t="shared" ref="I70:R70" si="59">SUM(I64+I69)</f>
        <v>#REF!</v>
      </c>
      <c r="J70" s="20" t="e">
        <f t="shared" si="59"/>
        <v>#REF!</v>
      </c>
      <c r="K70" s="20" t="e">
        <f t="shared" si="59"/>
        <v>#REF!</v>
      </c>
      <c r="L70" s="20" t="e">
        <f t="shared" si="59"/>
        <v>#REF!</v>
      </c>
      <c r="M70" s="20" t="e">
        <f t="shared" si="59"/>
        <v>#REF!</v>
      </c>
      <c r="N70" s="20" t="e">
        <f t="shared" si="59"/>
        <v>#REF!</v>
      </c>
      <c r="O70" s="20" t="e">
        <f t="shared" si="59"/>
        <v>#REF!</v>
      </c>
      <c r="P70" s="20" t="e">
        <f t="shared" si="59"/>
        <v>#REF!</v>
      </c>
      <c r="Q70" s="20" t="e">
        <f t="shared" si="59"/>
        <v>#REF!</v>
      </c>
      <c r="R70" s="20" t="e">
        <f t="shared" si="59"/>
        <v>#REF!</v>
      </c>
      <c r="S70" s="20" t="e">
        <f t="shared" si="55"/>
        <v>#REF!</v>
      </c>
      <c r="T70" s="20" t="e">
        <f t="shared" si="56"/>
        <v>#REF!</v>
      </c>
      <c r="U70" s="20" t="e">
        <f t="shared" si="57"/>
        <v>#REF!</v>
      </c>
      <c r="V70" s="20" t="e">
        <f t="shared" si="58"/>
        <v>#REF!</v>
      </c>
      <c r="W70" s="20" t="e">
        <f>SUM(W64+W69)</f>
        <v>#REF!</v>
      </c>
      <c r="X70" s="20" t="e">
        <f>SUM(X64+X69)</f>
        <v>#REF!</v>
      </c>
      <c r="Y70" s="21" t="e">
        <f t="shared" si="47"/>
        <v>#REF!</v>
      </c>
      <c r="Z70" s="21" t="e">
        <f t="shared" si="48"/>
        <v>#REF!</v>
      </c>
      <c r="AA70" s="21" t="e">
        <f t="shared" si="49"/>
        <v>#REF!</v>
      </c>
      <c r="AB70" s="54" t="e">
        <f t="shared" si="50"/>
        <v>#REF!</v>
      </c>
    </row>
    <row r="77" spans="2:28">
      <c r="B77" s="109" t="s">
        <v>56</v>
      </c>
      <c r="C77" s="109"/>
      <c r="D77" s="109"/>
      <c r="E77" s="109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  <c r="AA77" s="109"/>
      <c r="AB77" s="109"/>
    </row>
    <row r="78" spans="2:28" ht="15.75">
      <c r="B78" s="109"/>
      <c r="C78" s="109"/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  <c r="AA78" s="109"/>
      <c r="AB78" s="109"/>
    </row>
    <row r="79" spans="2:28">
      <c r="B79" s="91" t="s">
        <v>7</v>
      </c>
      <c r="C79" s="101">
        <v>44258</v>
      </c>
      <c r="D79" s="98"/>
      <c r="E79" s="94" t="s">
        <v>8</v>
      </c>
      <c r="F79" s="95"/>
      <c r="G79" s="94" t="s">
        <v>9</v>
      </c>
      <c r="H79" s="95"/>
      <c r="I79" s="97" t="s">
        <v>10</v>
      </c>
      <c r="J79" s="98"/>
      <c r="K79" s="97" t="s">
        <v>11</v>
      </c>
      <c r="L79" s="98"/>
      <c r="M79" s="97" t="s">
        <v>12</v>
      </c>
      <c r="N79" s="98"/>
      <c r="O79" s="94" t="s">
        <v>13</v>
      </c>
      <c r="P79" s="95"/>
      <c r="Q79" s="97" t="s">
        <v>14</v>
      </c>
      <c r="R79" s="98"/>
      <c r="S79" s="94" t="s">
        <v>15</v>
      </c>
      <c r="T79" s="95"/>
      <c r="U79" s="97" t="s">
        <v>16</v>
      </c>
      <c r="V79" s="98"/>
      <c r="W79" s="94" t="s">
        <v>17</v>
      </c>
      <c r="X79" s="95"/>
      <c r="Y79" s="89" t="s">
        <v>18</v>
      </c>
      <c r="Z79" s="108"/>
      <c r="AA79" s="89" t="s">
        <v>19</v>
      </c>
      <c r="AB79" s="90"/>
    </row>
    <row r="80" spans="2:28" ht="15.75">
      <c r="B80" s="92"/>
      <c r="C80" s="44" t="s">
        <v>20</v>
      </c>
      <c r="D80" s="44" t="s">
        <v>21</v>
      </c>
      <c r="E80" s="44" t="s">
        <v>20</v>
      </c>
      <c r="F80" s="44" t="s">
        <v>21</v>
      </c>
      <c r="G80" s="44" t="s">
        <v>20</v>
      </c>
      <c r="H80" s="44" t="s">
        <v>21</v>
      </c>
      <c r="I80" s="44" t="s">
        <v>20</v>
      </c>
      <c r="J80" s="44" t="s">
        <v>21</v>
      </c>
      <c r="K80" s="44" t="s">
        <v>20</v>
      </c>
      <c r="L80" s="44" t="s">
        <v>21</v>
      </c>
      <c r="M80" s="44" t="s">
        <v>20</v>
      </c>
      <c r="N80" s="44" t="s">
        <v>21</v>
      </c>
      <c r="O80" s="44" t="s">
        <v>20</v>
      </c>
      <c r="P80" s="44" t="s">
        <v>21</v>
      </c>
      <c r="Q80" s="44" t="s">
        <v>20</v>
      </c>
      <c r="R80" s="44" t="s">
        <v>21</v>
      </c>
      <c r="S80" s="44" t="s">
        <v>20</v>
      </c>
      <c r="T80" s="44" t="s">
        <v>21</v>
      </c>
      <c r="U80" s="44" t="s">
        <v>20</v>
      </c>
      <c r="V80" s="44" t="s">
        <v>21</v>
      </c>
      <c r="W80" s="44" t="s">
        <v>20</v>
      </c>
      <c r="X80" s="44" t="s">
        <v>21</v>
      </c>
      <c r="Y80" s="45" t="s">
        <v>20</v>
      </c>
      <c r="Z80" s="45" t="s">
        <v>21</v>
      </c>
      <c r="AA80" s="45" t="s">
        <v>20</v>
      </c>
      <c r="AB80" s="46" t="s">
        <v>21</v>
      </c>
    </row>
    <row r="81" spans="1:28" ht="20.25">
      <c r="B81" s="102"/>
      <c r="C81" s="103"/>
      <c r="D81" s="103"/>
      <c r="E81" s="103"/>
      <c r="F81" s="103"/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  <c r="AA81" s="103"/>
      <c r="AB81" s="104"/>
    </row>
    <row r="82" spans="1:28" ht="20.100000000000001" customHeight="1">
      <c r="B82" s="71" t="s">
        <v>57</v>
      </c>
      <c r="C82" s="72" t="e">
        <f>SUM('Aprovet. Pedag. EB - FINAL 2025'!#REF!)</f>
        <v>#REF!</v>
      </c>
      <c r="D82" s="72" t="e">
        <f>SUM('Aprovet. Pedag. EB - FINAL 2025'!#REF!)</f>
        <v>#REF!</v>
      </c>
      <c r="E82" s="72" t="e">
        <f>SUM('Aprovet. Pedag. EB - FINAL 2025'!#REF!)</f>
        <v>#REF!</v>
      </c>
      <c r="F82" s="72" t="e">
        <f>SUM('Aprovet. Pedag. EB - FINAL 2025'!#REF!)</f>
        <v>#REF!</v>
      </c>
      <c r="G82" s="72" t="e">
        <f>SUM('Aprovet. Pedag. EB - FINAL 2025'!#REF!)</f>
        <v>#REF!</v>
      </c>
      <c r="H82" s="72" t="e">
        <f>SUM('Aprovet. Pedag. EB - FINAL 2025'!#REF!)</f>
        <v>#REF!</v>
      </c>
      <c r="I82" s="72" t="e">
        <f>SUM('Aprovet. Pedag. EB - FINAL 2025'!#REF!)</f>
        <v>#REF!</v>
      </c>
      <c r="J82" s="72" t="e">
        <f>SUM('Aprovet. Pedag. EB - FINAL 2025'!#REF!)</f>
        <v>#REF!</v>
      </c>
      <c r="K82" s="72" t="e">
        <f>SUM('Aprovet. Pedag. EB - FINAL 2025'!#REF!)</f>
        <v>#REF!</v>
      </c>
      <c r="L82" s="72" t="e">
        <f>SUM('Aprovet. Pedag. EB - FINAL 2025'!#REF!)</f>
        <v>#REF!</v>
      </c>
      <c r="M82" s="72" t="e">
        <f>SUM('Aprovet. Pedag. EB - FINAL 2025'!#REF!)</f>
        <v>#REF!</v>
      </c>
      <c r="N82" s="72" t="e">
        <f>SUM('Aprovet. Pedag. EB - FINAL 2025'!#REF!)</f>
        <v>#REF!</v>
      </c>
      <c r="O82" s="72" t="e">
        <f>SUM('Aprovet. Pedag. EB - FINAL 2025'!#REF!)</f>
        <v>#REF!</v>
      </c>
      <c r="P82" s="72" t="e">
        <f>SUM('Aprovet. Pedag. EB - FINAL 2025'!#REF!)</f>
        <v>#REF!</v>
      </c>
      <c r="Q82" s="72" t="e">
        <f>SUM('Aprovet. Pedag. EB - FINAL 2025'!#REF!)</f>
        <v>#REF!</v>
      </c>
      <c r="R82" s="72" t="e">
        <f>SUM('Aprovet. Pedag. EB - FINAL 2025'!#REF!)</f>
        <v>#REF!</v>
      </c>
      <c r="S82" s="72" t="e">
        <f>SUM('Aprovet. Pedag. EB - FINAL 2025'!#REF!)</f>
        <v>#REF!</v>
      </c>
      <c r="T82" s="72" t="e">
        <f>SUM('Aprovet. Pedag. EB - FINAL 2025'!#REF!)</f>
        <v>#REF!</v>
      </c>
      <c r="U82" s="72" t="e">
        <f>SUM('Aprovet. Pedag. EB - FINAL 2025'!#REF!)</f>
        <v>#REF!</v>
      </c>
      <c r="V82" s="72" t="e">
        <f>SUM('Aprovet. Pedag. EB - FINAL 2025'!#REF!)</f>
        <v>#REF!</v>
      </c>
      <c r="W82" s="72" t="e">
        <f>SUM('Aprovet. Pedag. EB - FINAL 2025'!#REF!)</f>
        <v>#REF!</v>
      </c>
      <c r="X82" s="72" t="e">
        <f>SUM('Aprovet. Pedag. EB - FINAL 2025'!#REF!)</f>
        <v>#REF!</v>
      </c>
      <c r="Y82" s="73" t="e">
        <f>SUM('Aprovet. Pedag. EB - FINAL 2025'!#REF!)</f>
        <v>#REF!</v>
      </c>
      <c r="Z82" s="73" t="e">
        <f>SUM('Aprovet. Pedag. EB - FINAL 2025'!#REF!)</f>
        <v>#REF!</v>
      </c>
      <c r="AA82" s="73" t="e">
        <f>SUM('Aprovet. Pedag. EB - FINAL 2025'!#REF!)</f>
        <v>#REF!</v>
      </c>
      <c r="AB82" s="73" t="e">
        <f>SUM('Aprovet. Pedag. EB - FINAL 2025'!#REF!)</f>
        <v>#REF!</v>
      </c>
    </row>
    <row r="83" spans="1:28" ht="20.100000000000001" customHeight="1">
      <c r="A83" s="74"/>
      <c r="B83" s="75" t="s">
        <v>58</v>
      </c>
      <c r="C83" s="72" t="e">
        <f>SUM('Aprovet. Pedag. EB - FINAL 2025'!#REF!)</f>
        <v>#REF!</v>
      </c>
      <c r="D83" s="72" t="e">
        <f>SUM('Aprovet. Pedag. EB - FINAL 2025'!#REF!)</f>
        <v>#REF!</v>
      </c>
      <c r="E83" s="72" t="e">
        <f>SUM('Aprovet. Pedag. EB - FINAL 2025'!#REF!)</f>
        <v>#REF!</v>
      </c>
      <c r="F83" s="72" t="e">
        <f>SUM('Aprovet. Pedag. EB - FINAL 2025'!#REF!)</f>
        <v>#REF!</v>
      </c>
      <c r="G83" s="72" t="e">
        <f>SUM('Aprovet. Pedag. EB - FINAL 2025'!#REF!)</f>
        <v>#REF!</v>
      </c>
      <c r="H83" s="72" t="e">
        <f>SUM('Aprovet. Pedag. EB - FINAL 2025'!#REF!)</f>
        <v>#REF!</v>
      </c>
      <c r="I83" s="72" t="e">
        <f>SUM('Aprovet. Pedag. EB - FINAL 2025'!#REF!)</f>
        <v>#REF!</v>
      </c>
      <c r="J83" s="72" t="e">
        <f>SUM('Aprovet. Pedag. EB - FINAL 2025'!#REF!)</f>
        <v>#REF!</v>
      </c>
      <c r="K83" s="72" t="e">
        <f>SUM('Aprovet. Pedag. EB - FINAL 2025'!#REF!)</f>
        <v>#REF!</v>
      </c>
      <c r="L83" s="72" t="e">
        <f>SUM('Aprovet. Pedag. EB - FINAL 2025'!#REF!)</f>
        <v>#REF!</v>
      </c>
      <c r="M83" s="72" t="e">
        <f>SUM('Aprovet. Pedag. EB - FINAL 2025'!#REF!)</f>
        <v>#REF!</v>
      </c>
      <c r="N83" s="72" t="e">
        <f>SUM('Aprovet. Pedag. EB - FINAL 2025'!#REF!)</f>
        <v>#REF!</v>
      </c>
      <c r="O83" s="72" t="e">
        <f>SUM('Aprovet. Pedag. EB - FINAL 2025'!#REF!)</f>
        <v>#REF!</v>
      </c>
      <c r="P83" s="72" t="e">
        <f>SUM('Aprovet. Pedag. EB - FINAL 2025'!#REF!)</f>
        <v>#REF!</v>
      </c>
      <c r="Q83" s="72" t="e">
        <f>SUM('Aprovet. Pedag. EB - FINAL 2025'!#REF!)</f>
        <v>#REF!</v>
      </c>
      <c r="R83" s="72" t="e">
        <f>SUM('Aprovet. Pedag. EB - FINAL 2025'!#REF!)</f>
        <v>#REF!</v>
      </c>
      <c r="S83" s="72" t="e">
        <f>SUM('Aprovet. Pedag. EB - FINAL 2025'!#REF!)</f>
        <v>#REF!</v>
      </c>
      <c r="T83" s="72" t="e">
        <f>SUM('Aprovet. Pedag. EB - FINAL 2025'!#REF!)</f>
        <v>#REF!</v>
      </c>
      <c r="U83" s="72" t="e">
        <f>SUM('Aprovet. Pedag. EB - FINAL 2025'!#REF!)</f>
        <v>#REF!</v>
      </c>
      <c r="V83" s="72" t="e">
        <f>SUM('Aprovet. Pedag. EB - FINAL 2025'!#REF!)</f>
        <v>#REF!</v>
      </c>
      <c r="W83" s="72" t="e">
        <f>SUM('Aprovet. Pedag. EB - FINAL 2025'!#REF!)</f>
        <v>#REF!</v>
      </c>
      <c r="X83" s="72" t="e">
        <f>SUM('Aprovet. Pedag. EB - FINAL 2025'!#REF!)</f>
        <v>#REF!</v>
      </c>
      <c r="Y83" s="76" t="e">
        <f>SUM('Aprovet. Pedag. EB - FINAL 2025'!#REF!)</f>
        <v>#REF!</v>
      </c>
      <c r="Z83" s="76" t="e">
        <f>SUM('Aprovet. Pedag. EB - FINAL 2025'!#REF!)</f>
        <v>#REF!</v>
      </c>
      <c r="AA83" s="76" t="e">
        <f>SUM('Aprovet. Pedag. EB - FINAL 2025'!#REF!)</f>
        <v>#REF!</v>
      </c>
      <c r="AB83" s="76" t="e">
        <f>SUM('Aprovet. Pedag. EB - FINAL 2025'!#REF!)</f>
        <v>#REF!</v>
      </c>
    </row>
    <row r="84" spans="1:28" ht="20.100000000000001" customHeight="1">
      <c r="B84" s="71" t="s">
        <v>59</v>
      </c>
      <c r="C84" s="72" t="e">
        <f>SUM('Aprovet. Pedag. EB - FINAL 2025'!#REF!)</f>
        <v>#REF!</v>
      </c>
      <c r="D84" s="72" t="e">
        <f>SUM('Aprovet. Pedag. EB - FINAL 2025'!#REF!)</f>
        <v>#REF!</v>
      </c>
      <c r="E84" s="72" t="e">
        <f>SUM('Aprovet. Pedag. EB - FINAL 2025'!#REF!)</f>
        <v>#REF!</v>
      </c>
      <c r="F84" s="72" t="e">
        <f>SUM('Aprovet. Pedag. EB - FINAL 2025'!#REF!)</f>
        <v>#REF!</v>
      </c>
      <c r="G84" s="72" t="e">
        <f>SUM('Aprovet. Pedag. EB - FINAL 2025'!#REF!)</f>
        <v>#REF!</v>
      </c>
      <c r="H84" s="72" t="e">
        <f>SUM('Aprovet. Pedag. EB - FINAL 2025'!#REF!)</f>
        <v>#REF!</v>
      </c>
      <c r="I84" s="72" t="e">
        <f>SUM('Aprovet. Pedag. EB - FINAL 2025'!#REF!)</f>
        <v>#REF!</v>
      </c>
      <c r="J84" s="72" t="e">
        <f>SUM('Aprovet. Pedag. EB - FINAL 2025'!#REF!)</f>
        <v>#REF!</v>
      </c>
      <c r="K84" s="72" t="e">
        <f>SUM('Aprovet. Pedag. EB - FINAL 2025'!#REF!)</f>
        <v>#REF!</v>
      </c>
      <c r="L84" s="72" t="e">
        <f>SUM('Aprovet. Pedag. EB - FINAL 2025'!#REF!)</f>
        <v>#REF!</v>
      </c>
      <c r="M84" s="72" t="e">
        <f>SUM('Aprovet. Pedag. EB - FINAL 2025'!#REF!)</f>
        <v>#REF!</v>
      </c>
      <c r="N84" s="72" t="e">
        <f>SUM('Aprovet. Pedag. EB - FINAL 2025'!#REF!)</f>
        <v>#REF!</v>
      </c>
      <c r="O84" s="72" t="e">
        <f>SUM('Aprovet. Pedag. EB - FINAL 2025'!#REF!)</f>
        <v>#REF!</v>
      </c>
      <c r="P84" s="72" t="e">
        <f>SUM('Aprovet. Pedag. EB - FINAL 2025'!#REF!)</f>
        <v>#REF!</v>
      </c>
      <c r="Q84" s="72" t="e">
        <f>SUM('Aprovet. Pedag. EB - FINAL 2025'!#REF!)</f>
        <v>#REF!</v>
      </c>
      <c r="R84" s="72" t="e">
        <f>SUM('Aprovet. Pedag. EB - FINAL 2025'!#REF!)</f>
        <v>#REF!</v>
      </c>
      <c r="S84" s="72" t="e">
        <f>SUM('Aprovet. Pedag. EB - FINAL 2025'!#REF!)</f>
        <v>#REF!</v>
      </c>
      <c r="T84" s="72" t="e">
        <f>SUM('Aprovet. Pedag. EB - FINAL 2025'!#REF!)</f>
        <v>#REF!</v>
      </c>
      <c r="U84" s="72" t="e">
        <f>SUM('Aprovet. Pedag. EB - FINAL 2025'!#REF!)</f>
        <v>#REF!</v>
      </c>
      <c r="V84" s="72" t="e">
        <f>SUM('Aprovet. Pedag. EB - FINAL 2025'!#REF!)</f>
        <v>#REF!</v>
      </c>
      <c r="W84" s="72" t="e">
        <f>SUM('Aprovet. Pedag. EB - FINAL 2025'!#REF!)</f>
        <v>#REF!</v>
      </c>
      <c r="X84" s="72" t="e">
        <f>SUM('Aprovet. Pedag. EB - FINAL 2025'!#REF!)</f>
        <v>#REF!</v>
      </c>
      <c r="Y84" s="73" t="e">
        <f>SUM('Aprovet. Pedag. EB - FINAL 2025'!#REF!)</f>
        <v>#REF!</v>
      </c>
      <c r="Z84" s="73" t="e">
        <f>SUM('Aprovet. Pedag. EB - FINAL 2025'!#REF!)</f>
        <v>#REF!</v>
      </c>
      <c r="AA84" s="73" t="e">
        <f>SUM('Aprovet. Pedag. EB - FINAL 2025'!#REF!)</f>
        <v>#REF!</v>
      </c>
      <c r="AB84" s="73" t="e">
        <f>SUM('Aprovet. Pedag. EB - FINAL 2025'!#REF!)</f>
        <v>#REF!</v>
      </c>
    </row>
    <row r="85" spans="1:28" ht="20.100000000000001" customHeight="1">
      <c r="B85" s="71" t="s">
        <v>60</v>
      </c>
      <c r="C85" s="72" t="e">
        <f>SUM('Aprovet. Pedag. EB - FINAL 2025'!#REF!)</f>
        <v>#REF!</v>
      </c>
      <c r="D85" s="72" t="e">
        <f>SUM('Aprovet. Pedag. EB - FINAL 2025'!#REF!)</f>
        <v>#REF!</v>
      </c>
      <c r="E85" s="72" t="e">
        <f>SUM('Aprovet. Pedag. EB - FINAL 2025'!#REF!)</f>
        <v>#REF!</v>
      </c>
      <c r="F85" s="72" t="e">
        <f>SUM('Aprovet. Pedag. EB - FINAL 2025'!#REF!)</f>
        <v>#REF!</v>
      </c>
      <c r="G85" s="72" t="e">
        <f>SUM('Aprovet. Pedag. EB - FINAL 2025'!#REF!)</f>
        <v>#REF!</v>
      </c>
      <c r="H85" s="72" t="e">
        <f>SUM('Aprovet. Pedag. EB - FINAL 2025'!#REF!)</f>
        <v>#REF!</v>
      </c>
      <c r="I85" s="72" t="e">
        <f>SUM('Aprovet. Pedag. EB - FINAL 2025'!#REF!)</f>
        <v>#REF!</v>
      </c>
      <c r="J85" s="72" t="e">
        <f>SUM('Aprovet. Pedag. EB - FINAL 2025'!#REF!)</f>
        <v>#REF!</v>
      </c>
      <c r="K85" s="72" t="e">
        <f>SUM('Aprovet. Pedag. EB - FINAL 2025'!#REF!)</f>
        <v>#REF!</v>
      </c>
      <c r="L85" s="72" t="e">
        <f>SUM('Aprovet. Pedag. EB - FINAL 2025'!#REF!)</f>
        <v>#REF!</v>
      </c>
      <c r="M85" s="72" t="e">
        <f>SUM('Aprovet. Pedag. EB - FINAL 2025'!#REF!)</f>
        <v>#REF!</v>
      </c>
      <c r="N85" s="72" t="e">
        <f>SUM('Aprovet. Pedag. EB - FINAL 2025'!#REF!)</f>
        <v>#REF!</v>
      </c>
      <c r="O85" s="72" t="e">
        <f>SUM('Aprovet. Pedag. EB - FINAL 2025'!#REF!)</f>
        <v>#REF!</v>
      </c>
      <c r="P85" s="72" t="e">
        <f>SUM('Aprovet. Pedag. EB - FINAL 2025'!#REF!)</f>
        <v>#REF!</v>
      </c>
      <c r="Q85" s="72" t="e">
        <f>SUM('Aprovet. Pedag. EB - FINAL 2025'!#REF!)</f>
        <v>#REF!</v>
      </c>
      <c r="R85" s="72" t="e">
        <f>SUM('Aprovet. Pedag. EB - FINAL 2025'!#REF!)</f>
        <v>#REF!</v>
      </c>
      <c r="S85" s="72" t="e">
        <f>SUM('Aprovet. Pedag. EB - FINAL 2025'!#REF!)</f>
        <v>#REF!</v>
      </c>
      <c r="T85" s="72" t="e">
        <f>SUM('Aprovet. Pedag. EB - FINAL 2025'!#REF!)</f>
        <v>#REF!</v>
      </c>
      <c r="U85" s="72" t="e">
        <f>SUM('Aprovet. Pedag. EB - FINAL 2025'!#REF!)</f>
        <v>#REF!</v>
      </c>
      <c r="V85" s="72" t="e">
        <f>SUM('Aprovet. Pedag. EB - FINAL 2025'!#REF!)</f>
        <v>#REF!</v>
      </c>
      <c r="W85" s="72" t="e">
        <f>SUM('Aprovet. Pedag. EB - FINAL 2025'!#REF!)</f>
        <v>#REF!</v>
      </c>
      <c r="X85" s="72" t="e">
        <f>SUM('Aprovet. Pedag. EB - FINAL 2025'!#REF!)</f>
        <v>#REF!</v>
      </c>
      <c r="Y85" s="73" t="e">
        <f>SUM('Aprovet. Pedag. EB - FINAL 2025'!#REF!)</f>
        <v>#REF!</v>
      </c>
      <c r="Z85" s="73" t="e">
        <f>SUM('Aprovet. Pedag. EB - FINAL 2025'!#REF!)</f>
        <v>#REF!</v>
      </c>
      <c r="AA85" s="73" t="e">
        <f>SUM('Aprovet. Pedag. EB - FINAL 2025'!#REF!)</f>
        <v>#REF!</v>
      </c>
      <c r="AB85" s="73" t="e">
        <f>SUM('Aprovet. Pedag. EB - FINAL 2025'!#REF!)</f>
        <v>#REF!</v>
      </c>
    </row>
    <row r="86" spans="1:28" ht="20.100000000000001" customHeight="1">
      <c r="B86" s="71" t="s">
        <v>61</v>
      </c>
      <c r="C86" s="72" t="e">
        <f>SUM('Aprovet. Pedag. EB - FINAL 2025'!#REF!)</f>
        <v>#REF!</v>
      </c>
      <c r="D86" s="72" t="e">
        <f>SUM('Aprovet. Pedag. EB - FINAL 2025'!#REF!)</f>
        <v>#REF!</v>
      </c>
      <c r="E86" s="72" t="e">
        <f>SUM('Aprovet. Pedag. EB - FINAL 2025'!#REF!)</f>
        <v>#REF!</v>
      </c>
      <c r="F86" s="72" t="e">
        <f>SUM('Aprovet. Pedag. EB - FINAL 2025'!#REF!)</f>
        <v>#REF!</v>
      </c>
      <c r="G86" s="72" t="e">
        <f>SUM('Aprovet. Pedag. EB - FINAL 2025'!#REF!)</f>
        <v>#REF!</v>
      </c>
      <c r="H86" s="72" t="e">
        <f>SUM('Aprovet. Pedag. EB - FINAL 2025'!#REF!)</f>
        <v>#REF!</v>
      </c>
      <c r="I86" s="72" t="e">
        <f>SUM('Aprovet. Pedag. EB - FINAL 2025'!#REF!)</f>
        <v>#REF!</v>
      </c>
      <c r="J86" s="72" t="e">
        <f>SUM('Aprovet. Pedag. EB - FINAL 2025'!#REF!)</f>
        <v>#REF!</v>
      </c>
      <c r="K86" s="72" t="e">
        <f>SUM('Aprovet. Pedag. EB - FINAL 2025'!#REF!)</f>
        <v>#REF!</v>
      </c>
      <c r="L86" s="72" t="e">
        <f>SUM('Aprovet. Pedag. EB - FINAL 2025'!#REF!)</f>
        <v>#REF!</v>
      </c>
      <c r="M86" s="72" t="e">
        <f>SUM('Aprovet. Pedag. EB - FINAL 2025'!#REF!)</f>
        <v>#REF!</v>
      </c>
      <c r="N86" s="72" t="e">
        <f>SUM('Aprovet. Pedag. EB - FINAL 2025'!#REF!)</f>
        <v>#REF!</v>
      </c>
      <c r="O86" s="72" t="e">
        <f>SUM('Aprovet. Pedag. EB - FINAL 2025'!#REF!)</f>
        <v>#REF!</v>
      </c>
      <c r="P86" s="72" t="e">
        <f>SUM('Aprovet. Pedag. EB - FINAL 2025'!#REF!)</f>
        <v>#REF!</v>
      </c>
      <c r="Q86" s="72" t="e">
        <f>SUM('Aprovet. Pedag. EB - FINAL 2025'!#REF!)</f>
        <v>#REF!</v>
      </c>
      <c r="R86" s="72" t="e">
        <f>SUM('Aprovet. Pedag. EB - FINAL 2025'!#REF!)</f>
        <v>#REF!</v>
      </c>
      <c r="S86" s="72" t="e">
        <f>SUM('Aprovet. Pedag. EB - FINAL 2025'!#REF!)</f>
        <v>#REF!</v>
      </c>
      <c r="T86" s="72" t="e">
        <f>SUM('Aprovet. Pedag. EB - FINAL 2025'!#REF!)</f>
        <v>#REF!</v>
      </c>
      <c r="U86" s="72" t="e">
        <f>SUM('Aprovet. Pedag. EB - FINAL 2025'!#REF!)</f>
        <v>#REF!</v>
      </c>
      <c r="V86" s="72" t="e">
        <f>SUM('Aprovet. Pedag. EB - FINAL 2025'!#REF!)</f>
        <v>#REF!</v>
      </c>
      <c r="W86" s="72" t="e">
        <f>SUM('Aprovet. Pedag. EB - FINAL 2025'!#REF!)</f>
        <v>#REF!</v>
      </c>
      <c r="X86" s="72" t="e">
        <f>SUM('Aprovet. Pedag. EB - FINAL 2025'!#REF!)</f>
        <v>#REF!</v>
      </c>
      <c r="Y86" s="73" t="e">
        <f>SUM('Aprovet. Pedag. EB - FINAL 2025'!#REF!)</f>
        <v>#REF!</v>
      </c>
      <c r="Z86" s="73" t="e">
        <f>SUM('Aprovet. Pedag. EB - FINAL 2025'!#REF!)</f>
        <v>#REF!</v>
      </c>
      <c r="AA86" s="73" t="e">
        <f>SUM('Aprovet. Pedag. EB - FINAL 2025'!#REF!)</f>
        <v>#REF!</v>
      </c>
      <c r="AB86" s="73" t="e">
        <f>SUM('Aprovet. Pedag. EB - FINAL 2025'!#REF!)</f>
        <v>#REF!</v>
      </c>
    </row>
    <row r="87" spans="1:28" ht="20.100000000000001" customHeight="1">
      <c r="B87" s="71" t="s">
        <v>62</v>
      </c>
      <c r="C87" s="72" t="e">
        <f>SUM('Aprovet. Pedag. EB - FINAL 2025'!#REF!)</f>
        <v>#REF!</v>
      </c>
      <c r="D87" s="72" t="e">
        <f>SUM('Aprovet. Pedag. EB - FINAL 2025'!#REF!)</f>
        <v>#REF!</v>
      </c>
      <c r="E87" s="72" t="e">
        <f>SUM('Aprovet. Pedag. EB - FINAL 2025'!#REF!)</f>
        <v>#REF!</v>
      </c>
      <c r="F87" s="72" t="e">
        <f>SUM('Aprovet. Pedag. EB - FINAL 2025'!#REF!)</f>
        <v>#REF!</v>
      </c>
      <c r="G87" s="72" t="e">
        <f>SUM('Aprovet. Pedag. EB - FINAL 2025'!#REF!)</f>
        <v>#REF!</v>
      </c>
      <c r="H87" s="72" t="e">
        <f>SUM('Aprovet. Pedag. EB - FINAL 2025'!#REF!)</f>
        <v>#REF!</v>
      </c>
      <c r="I87" s="72" t="e">
        <f>SUM('Aprovet. Pedag. EB - FINAL 2025'!#REF!)</f>
        <v>#REF!</v>
      </c>
      <c r="J87" s="72" t="e">
        <f>SUM('Aprovet. Pedag. EB - FINAL 2025'!#REF!)</f>
        <v>#REF!</v>
      </c>
      <c r="K87" s="72" t="e">
        <f>SUM('Aprovet. Pedag. EB - FINAL 2025'!#REF!)</f>
        <v>#REF!</v>
      </c>
      <c r="L87" s="72" t="e">
        <f>SUM('Aprovet. Pedag. EB - FINAL 2025'!#REF!)</f>
        <v>#REF!</v>
      </c>
      <c r="M87" s="72" t="e">
        <f>SUM('Aprovet. Pedag. EB - FINAL 2025'!#REF!)</f>
        <v>#REF!</v>
      </c>
      <c r="N87" s="72" t="e">
        <f>SUM('Aprovet. Pedag. EB - FINAL 2025'!#REF!)</f>
        <v>#REF!</v>
      </c>
      <c r="O87" s="72" t="e">
        <f>SUM('Aprovet. Pedag. EB - FINAL 2025'!#REF!)</f>
        <v>#REF!</v>
      </c>
      <c r="P87" s="72" t="e">
        <f>SUM('Aprovet. Pedag. EB - FINAL 2025'!#REF!)</f>
        <v>#REF!</v>
      </c>
      <c r="Q87" s="72" t="e">
        <f>SUM('Aprovet. Pedag. EB - FINAL 2025'!#REF!)</f>
        <v>#REF!</v>
      </c>
      <c r="R87" s="72" t="e">
        <f>SUM('Aprovet. Pedag. EB - FINAL 2025'!#REF!)</f>
        <v>#REF!</v>
      </c>
      <c r="S87" s="72" t="e">
        <f>SUM('Aprovet. Pedag. EB - FINAL 2025'!#REF!)</f>
        <v>#REF!</v>
      </c>
      <c r="T87" s="72" t="e">
        <f>SUM('Aprovet. Pedag. EB - FINAL 2025'!#REF!)</f>
        <v>#REF!</v>
      </c>
      <c r="U87" s="72" t="e">
        <f>SUM('Aprovet. Pedag. EB - FINAL 2025'!#REF!)</f>
        <v>#REF!</v>
      </c>
      <c r="V87" s="72" t="e">
        <f>SUM('Aprovet. Pedag. EB - FINAL 2025'!#REF!)</f>
        <v>#REF!</v>
      </c>
      <c r="W87" s="72" t="e">
        <f>SUM('Aprovet. Pedag. EB - FINAL 2025'!#REF!)</f>
        <v>#REF!</v>
      </c>
      <c r="X87" s="72" t="e">
        <f>SUM('Aprovet. Pedag. EB - FINAL 2025'!#REF!)</f>
        <v>#REF!</v>
      </c>
      <c r="Y87" s="73" t="e">
        <f>SUM('Aprovet. Pedag. EB - FINAL 2025'!#REF!)</f>
        <v>#REF!</v>
      </c>
      <c r="Z87" s="73" t="e">
        <f>SUM('Aprovet. Pedag. EB - FINAL 2025'!#REF!)</f>
        <v>#REF!</v>
      </c>
      <c r="AA87" s="73" t="e">
        <f>SUM('Aprovet. Pedag. EB - FINAL 2025'!#REF!)</f>
        <v>#REF!</v>
      </c>
      <c r="AB87" s="73" t="e">
        <f>SUM('Aprovet. Pedag. EB - FINAL 2025'!#REF!)</f>
        <v>#REF!</v>
      </c>
    </row>
    <row r="88" spans="1:28" ht="20.100000000000001" customHeight="1">
      <c r="B88" s="71" t="s">
        <v>63</v>
      </c>
      <c r="C88" s="72" t="e">
        <f>SUM('Aprovet. Pedag. EB - FINAL 2025'!#REF!)</f>
        <v>#REF!</v>
      </c>
      <c r="D88" s="72" t="e">
        <f>SUM('Aprovet. Pedag. EB - FINAL 2025'!#REF!)</f>
        <v>#REF!</v>
      </c>
      <c r="E88" s="72" t="e">
        <f>SUM('Aprovet. Pedag. EB - FINAL 2025'!#REF!)</f>
        <v>#REF!</v>
      </c>
      <c r="F88" s="72" t="e">
        <f>SUM('Aprovet. Pedag. EB - FINAL 2025'!#REF!)</f>
        <v>#REF!</v>
      </c>
      <c r="G88" s="72" t="e">
        <f>SUM('Aprovet. Pedag. EB - FINAL 2025'!#REF!)</f>
        <v>#REF!</v>
      </c>
      <c r="H88" s="72" t="e">
        <f>SUM('Aprovet. Pedag. EB - FINAL 2025'!#REF!)</f>
        <v>#REF!</v>
      </c>
      <c r="I88" s="72" t="e">
        <f>SUM('Aprovet. Pedag. EB - FINAL 2025'!#REF!)</f>
        <v>#REF!</v>
      </c>
      <c r="J88" s="72" t="e">
        <f>SUM('Aprovet. Pedag. EB - FINAL 2025'!#REF!)</f>
        <v>#REF!</v>
      </c>
      <c r="K88" s="72" t="e">
        <f>SUM('Aprovet. Pedag. EB - FINAL 2025'!#REF!)</f>
        <v>#REF!</v>
      </c>
      <c r="L88" s="72" t="e">
        <f>SUM('Aprovet. Pedag. EB - FINAL 2025'!#REF!)</f>
        <v>#REF!</v>
      </c>
      <c r="M88" s="72" t="e">
        <f>SUM('Aprovet. Pedag. EB - FINAL 2025'!#REF!)</f>
        <v>#REF!</v>
      </c>
      <c r="N88" s="72" t="e">
        <f>SUM('Aprovet. Pedag. EB - FINAL 2025'!#REF!)</f>
        <v>#REF!</v>
      </c>
      <c r="O88" s="72" t="e">
        <f>SUM('Aprovet. Pedag. EB - FINAL 2025'!#REF!)</f>
        <v>#REF!</v>
      </c>
      <c r="P88" s="72" t="e">
        <f>SUM('Aprovet. Pedag. EB - FINAL 2025'!#REF!)</f>
        <v>#REF!</v>
      </c>
      <c r="Q88" s="72" t="e">
        <f>SUM('Aprovet. Pedag. EB - FINAL 2025'!#REF!)</f>
        <v>#REF!</v>
      </c>
      <c r="R88" s="72" t="e">
        <f>SUM('Aprovet. Pedag. EB - FINAL 2025'!#REF!)</f>
        <v>#REF!</v>
      </c>
      <c r="S88" s="72" t="e">
        <f>SUM('Aprovet. Pedag. EB - FINAL 2025'!#REF!)</f>
        <v>#REF!</v>
      </c>
      <c r="T88" s="72" t="e">
        <f>SUM('Aprovet. Pedag. EB - FINAL 2025'!#REF!)</f>
        <v>#REF!</v>
      </c>
      <c r="U88" s="72" t="e">
        <f>SUM('Aprovet. Pedag. EB - FINAL 2025'!#REF!)</f>
        <v>#REF!</v>
      </c>
      <c r="V88" s="72" t="e">
        <f>SUM('Aprovet. Pedag. EB - FINAL 2025'!#REF!)</f>
        <v>#REF!</v>
      </c>
      <c r="W88" s="72" t="e">
        <f>SUM('Aprovet. Pedag. EB - FINAL 2025'!#REF!)</f>
        <v>#REF!</v>
      </c>
      <c r="X88" s="72" t="e">
        <f>SUM('Aprovet. Pedag. EB - FINAL 2025'!#REF!)</f>
        <v>#REF!</v>
      </c>
      <c r="Y88" s="73" t="e">
        <f>SUM('Aprovet. Pedag. EB - FINAL 2025'!#REF!)</f>
        <v>#REF!</v>
      </c>
      <c r="Z88" s="73" t="e">
        <f>SUM('Aprovet. Pedag. EB - FINAL 2025'!#REF!)</f>
        <v>#REF!</v>
      </c>
      <c r="AA88" s="73" t="e">
        <f>SUM('Aprovet. Pedag. EB - FINAL 2025'!#REF!)</f>
        <v>#REF!</v>
      </c>
      <c r="AB88" s="73" t="e">
        <f>SUM('Aprovet. Pedag. EB - FINAL 2025'!#REF!)</f>
        <v>#REF!</v>
      </c>
    </row>
    <row r="89" spans="1:28" ht="20.100000000000001" customHeight="1">
      <c r="B89" s="71" t="s">
        <v>64</v>
      </c>
      <c r="C89" s="72" t="e">
        <f>SUM('Aprovet. Pedag. EB - FINAL 2025'!#REF!)</f>
        <v>#REF!</v>
      </c>
      <c r="D89" s="72" t="e">
        <f>SUM('Aprovet. Pedag. EB - FINAL 2025'!#REF!)</f>
        <v>#REF!</v>
      </c>
      <c r="E89" s="72" t="e">
        <f>SUM('Aprovet. Pedag. EB - FINAL 2025'!#REF!)</f>
        <v>#REF!</v>
      </c>
      <c r="F89" s="72" t="e">
        <f>SUM('Aprovet. Pedag. EB - FINAL 2025'!#REF!)</f>
        <v>#REF!</v>
      </c>
      <c r="G89" s="72" t="e">
        <f>SUM('Aprovet. Pedag. EB - FINAL 2025'!#REF!)</f>
        <v>#REF!</v>
      </c>
      <c r="H89" s="72" t="e">
        <f>SUM('Aprovet. Pedag. EB - FINAL 2025'!#REF!)</f>
        <v>#REF!</v>
      </c>
      <c r="I89" s="72" t="e">
        <f>SUM('Aprovet. Pedag. EB - FINAL 2025'!#REF!)</f>
        <v>#REF!</v>
      </c>
      <c r="J89" s="72" t="e">
        <f>SUM('Aprovet. Pedag. EB - FINAL 2025'!#REF!)</f>
        <v>#REF!</v>
      </c>
      <c r="K89" s="72" t="e">
        <f>SUM('Aprovet. Pedag. EB - FINAL 2025'!#REF!)</f>
        <v>#REF!</v>
      </c>
      <c r="L89" s="72" t="e">
        <f>SUM('Aprovet. Pedag. EB - FINAL 2025'!#REF!)</f>
        <v>#REF!</v>
      </c>
      <c r="M89" s="72" t="e">
        <f>SUM('Aprovet. Pedag. EB - FINAL 2025'!#REF!)</f>
        <v>#REF!</v>
      </c>
      <c r="N89" s="72" t="e">
        <f>SUM('Aprovet. Pedag. EB - FINAL 2025'!#REF!)</f>
        <v>#REF!</v>
      </c>
      <c r="O89" s="72" t="e">
        <f>SUM('Aprovet. Pedag. EB - FINAL 2025'!#REF!)</f>
        <v>#REF!</v>
      </c>
      <c r="P89" s="72" t="e">
        <f>SUM('Aprovet. Pedag. EB - FINAL 2025'!#REF!)</f>
        <v>#REF!</v>
      </c>
      <c r="Q89" s="72" t="e">
        <f>SUM('Aprovet. Pedag. EB - FINAL 2025'!#REF!)</f>
        <v>#REF!</v>
      </c>
      <c r="R89" s="72" t="e">
        <f>SUM('Aprovet. Pedag. EB - FINAL 2025'!#REF!)</f>
        <v>#REF!</v>
      </c>
      <c r="S89" s="72" t="e">
        <f>SUM('Aprovet. Pedag. EB - FINAL 2025'!#REF!)</f>
        <v>#REF!</v>
      </c>
      <c r="T89" s="72" t="e">
        <f>SUM('Aprovet. Pedag. EB - FINAL 2025'!#REF!)</f>
        <v>#REF!</v>
      </c>
      <c r="U89" s="72" t="e">
        <f>SUM('Aprovet. Pedag. EB - FINAL 2025'!#REF!)</f>
        <v>#REF!</v>
      </c>
      <c r="V89" s="72" t="e">
        <f>SUM('Aprovet. Pedag. EB - FINAL 2025'!#REF!)</f>
        <v>#REF!</v>
      </c>
      <c r="W89" s="72" t="e">
        <f>SUM('Aprovet. Pedag. EB - FINAL 2025'!#REF!)</f>
        <v>#REF!</v>
      </c>
      <c r="X89" s="72" t="e">
        <f>SUM('Aprovet. Pedag. EB - FINAL 2025'!#REF!)</f>
        <v>#REF!</v>
      </c>
      <c r="Y89" s="73" t="e">
        <f>SUM('Aprovet. Pedag. EB - FINAL 2025'!#REF!)</f>
        <v>#REF!</v>
      </c>
      <c r="Z89" s="73" t="e">
        <f>SUM('Aprovet. Pedag. EB - FINAL 2025'!#REF!)</f>
        <v>#REF!</v>
      </c>
      <c r="AA89" s="73" t="e">
        <f>SUM('Aprovet. Pedag. EB - FINAL 2025'!#REF!)</f>
        <v>#REF!</v>
      </c>
      <c r="AB89" s="73" t="e">
        <f>SUM('Aprovet. Pedag. EB - FINAL 2025'!#REF!)</f>
        <v>#REF!</v>
      </c>
    </row>
    <row r="90" spans="1:28" ht="20.100000000000001" customHeight="1">
      <c r="B90" s="71" t="s">
        <v>65</v>
      </c>
      <c r="C90" s="72" t="e">
        <f>SUM('Aprovet. Pedag. EB - FINAL 2025'!#REF!)</f>
        <v>#REF!</v>
      </c>
      <c r="D90" s="72" t="e">
        <f>SUM('Aprovet. Pedag. EB - FINAL 2025'!#REF!)</f>
        <v>#REF!</v>
      </c>
      <c r="E90" s="72" t="e">
        <f>SUM('Aprovet. Pedag. EB - FINAL 2025'!#REF!)</f>
        <v>#REF!</v>
      </c>
      <c r="F90" s="72" t="e">
        <f>SUM('Aprovet. Pedag. EB - FINAL 2025'!#REF!)</f>
        <v>#REF!</v>
      </c>
      <c r="G90" s="72" t="e">
        <f>SUM('Aprovet. Pedag. EB - FINAL 2025'!#REF!)</f>
        <v>#REF!</v>
      </c>
      <c r="H90" s="72" t="e">
        <f>SUM('Aprovet. Pedag. EB - FINAL 2025'!#REF!)</f>
        <v>#REF!</v>
      </c>
      <c r="I90" s="72" t="e">
        <f>SUM('Aprovet. Pedag. EB - FINAL 2025'!#REF!)</f>
        <v>#REF!</v>
      </c>
      <c r="J90" s="72" t="e">
        <f>SUM('Aprovet. Pedag. EB - FINAL 2025'!#REF!)</f>
        <v>#REF!</v>
      </c>
      <c r="K90" s="72" t="e">
        <f>SUM('Aprovet. Pedag. EB - FINAL 2025'!#REF!)</f>
        <v>#REF!</v>
      </c>
      <c r="L90" s="72" t="e">
        <f>SUM('Aprovet. Pedag. EB - FINAL 2025'!#REF!)</f>
        <v>#REF!</v>
      </c>
      <c r="M90" s="72" t="e">
        <f>SUM('Aprovet. Pedag. EB - FINAL 2025'!#REF!)</f>
        <v>#REF!</v>
      </c>
      <c r="N90" s="72" t="e">
        <f>SUM('Aprovet. Pedag. EB - FINAL 2025'!#REF!)</f>
        <v>#REF!</v>
      </c>
      <c r="O90" s="72" t="e">
        <f>SUM('Aprovet. Pedag. EB - FINAL 2025'!#REF!)</f>
        <v>#REF!</v>
      </c>
      <c r="P90" s="72" t="e">
        <f>SUM('Aprovet. Pedag. EB - FINAL 2025'!#REF!)</f>
        <v>#REF!</v>
      </c>
      <c r="Q90" s="72" t="e">
        <f>SUM('Aprovet. Pedag. EB - FINAL 2025'!#REF!)</f>
        <v>#REF!</v>
      </c>
      <c r="R90" s="72" t="e">
        <f>SUM('Aprovet. Pedag. EB - FINAL 2025'!#REF!)</f>
        <v>#REF!</v>
      </c>
      <c r="S90" s="72" t="e">
        <f>SUM('Aprovet. Pedag. EB - FINAL 2025'!#REF!)</f>
        <v>#REF!</v>
      </c>
      <c r="T90" s="72" t="e">
        <f>SUM('Aprovet. Pedag. EB - FINAL 2025'!#REF!)</f>
        <v>#REF!</v>
      </c>
      <c r="U90" s="72" t="e">
        <f>SUM('Aprovet. Pedag. EB - FINAL 2025'!#REF!)</f>
        <v>#REF!</v>
      </c>
      <c r="V90" s="72" t="e">
        <f>SUM('Aprovet. Pedag. EB - FINAL 2025'!#REF!)</f>
        <v>#REF!</v>
      </c>
      <c r="W90" s="72" t="e">
        <f>SUM('Aprovet. Pedag. EB - FINAL 2025'!#REF!)</f>
        <v>#REF!</v>
      </c>
      <c r="X90" s="72" t="e">
        <f>SUM('Aprovet. Pedag. EB - FINAL 2025'!#REF!)</f>
        <v>#REF!</v>
      </c>
      <c r="Y90" s="73" t="e">
        <f>SUM('Aprovet. Pedag. EB - FINAL 2025'!#REF!)</f>
        <v>#REF!</v>
      </c>
      <c r="Z90" s="73" t="e">
        <f>SUM('Aprovet. Pedag. EB - FINAL 2025'!#REF!)</f>
        <v>#REF!</v>
      </c>
      <c r="AA90" s="73" t="e">
        <f>SUM('Aprovet. Pedag. EB - FINAL 2025'!#REF!)</f>
        <v>#REF!</v>
      </c>
      <c r="AB90" s="73" t="e">
        <f>SUM('Aprovet. Pedag. EB - FINAL 2025'!#REF!)</f>
        <v>#REF!</v>
      </c>
    </row>
    <row r="91" spans="1:28" ht="20.100000000000001" customHeight="1">
      <c r="B91" s="71" t="s">
        <v>66</v>
      </c>
      <c r="C91" s="72" t="e">
        <f>SUM('Aprovet. Pedag. EB - FINAL 2025'!#REF!)</f>
        <v>#REF!</v>
      </c>
      <c r="D91" s="72" t="e">
        <f>SUM('Aprovet. Pedag. EB - FINAL 2025'!#REF!)</f>
        <v>#REF!</v>
      </c>
      <c r="E91" s="72" t="e">
        <f>SUM('Aprovet. Pedag. EB - FINAL 2025'!#REF!)</f>
        <v>#REF!</v>
      </c>
      <c r="F91" s="72" t="e">
        <f>SUM('Aprovet. Pedag. EB - FINAL 2025'!#REF!)</f>
        <v>#REF!</v>
      </c>
      <c r="G91" s="72" t="e">
        <f>SUM('Aprovet. Pedag. EB - FINAL 2025'!#REF!)</f>
        <v>#REF!</v>
      </c>
      <c r="H91" s="72" t="e">
        <f>SUM('Aprovet. Pedag. EB - FINAL 2025'!#REF!)</f>
        <v>#REF!</v>
      </c>
      <c r="I91" s="72" t="e">
        <f>SUM('Aprovet. Pedag. EB - FINAL 2025'!#REF!)</f>
        <v>#REF!</v>
      </c>
      <c r="J91" s="72" t="e">
        <f>SUM('Aprovet. Pedag. EB - FINAL 2025'!#REF!)</f>
        <v>#REF!</v>
      </c>
      <c r="K91" s="72" t="e">
        <f>SUM('Aprovet. Pedag. EB - FINAL 2025'!#REF!)</f>
        <v>#REF!</v>
      </c>
      <c r="L91" s="72" t="e">
        <f>SUM('Aprovet. Pedag. EB - FINAL 2025'!#REF!)</f>
        <v>#REF!</v>
      </c>
      <c r="M91" s="72" t="e">
        <f>SUM('Aprovet. Pedag. EB - FINAL 2025'!#REF!)</f>
        <v>#REF!</v>
      </c>
      <c r="N91" s="72" t="e">
        <f>SUM('Aprovet. Pedag. EB - FINAL 2025'!#REF!)</f>
        <v>#REF!</v>
      </c>
      <c r="O91" s="72" t="e">
        <f>SUM('Aprovet. Pedag. EB - FINAL 2025'!#REF!)</f>
        <v>#REF!</v>
      </c>
      <c r="P91" s="72" t="e">
        <f>SUM('Aprovet. Pedag. EB - FINAL 2025'!#REF!)</f>
        <v>#REF!</v>
      </c>
      <c r="Q91" s="72" t="e">
        <f>SUM('Aprovet. Pedag. EB - FINAL 2025'!#REF!)</f>
        <v>#REF!</v>
      </c>
      <c r="R91" s="72" t="e">
        <f>SUM('Aprovet. Pedag. EB - FINAL 2025'!#REF!)</f>
        <v>#REF!</v>
      </c>
      <c r="S91" s="72" t="e">
        <f>SUM('Aprovet. Pedag. EB - FINAL 2025'!#REF!)</f>
        <v>#REF!</v>
      </c>
      <c r="T91" s="72" t="e">
        <f>SUM('Aprovet. Pedag. EB - FINAL 2025'!#REF!)</f>
        <v>#REF!</v>
      </c>
      <c r="U91" s="72" t="e">
        <f>SUM('Aprovet. Pedag. EB - FINAL 2025'!#REF!)</f>
        <v>#REF!</v>
      </c>
      <c r="V91" s="72" t="e">
        <f>SUM('Aprovet. Pedag. EB - FINAL 2025'!#REF!)</f>
        <v>#REF!</v>
      </c>
      <c r="W91" s="72" t="e">
        <f>SUM('Aprovet. Pedag. EB - FINAL 2025'!#REF!)</f>
        <v>#REF!</v>
      </c>
      <c r="X91" s="72" t="e">
        <f>SUM('Aprovet. Pedag. EB - FINAL 2025'!#REF!)</f>
        <v>#REF!</v>
      </c>
      <c r="Y91" s="73" t="e">
        <f>SUM('Aprovet. Pedag. EB - FINAL 2025'!#REF!)</f>
        <v>#REF!</v>
      </c>
      <c r="Z91" s="73" t="e">
        <f>SUM('Aprovet. Pedag. EB - FINAL 2025'!#REF!)</f>
        <v>#REF!</v>
      </c>
      <c r="AA91" s="73" t="e">
        <f>SUM('Aprovet. Pedag. EB - FINAL 2025'!#REF!)</f>
        <v>#REF!</v>
      </c>
      <c r="AB91" s="73" t="e">
        <f>SUM('Aprovet. Pedag. EB - FINAL 2025'!#REF!)</f>
        <v>#REF!</v>
      </c>
    </row>
    <row r="92" spans="1:28" ht="20.100000000000001" customHeight="1">
      <c r="B92" s="71" t="s">
        <v>67</v>
      </c>
      <c r="C92" s="72" t="e">
        <f>SUM('Aprovet. Pedag. EB - FINAL 2025'!#REF!)</f>
        <v>#REF!</v>
      </c>
      <c r="D92" s="72" t="e">
        <f>SUM('Aprovet. Pedag. EB - FINAL 2025'!#REF!)</f>
        <v>#REF!</v>
      </c>
      <c r="E92" s="72" t="e">
        <f>SUM('Aprovet. Pedag. EB - FINAL 2025'!#REF!)</f>
        <v>#REF!</v>
      </c>
      <c r="F92" s="72" t="e">
        <f>SUM('Aprovet. Pedag. EB - FINAL 2025'!#REF!)</f>
        <v>#REF!</v>
      </c>
      <c r="G92" s="72" t="e">
        <f>SUM('Aprovet. Pedag. EB - FINAL 2025'!#REF!)</f>
        <v>#REF!</v>
      </c>
      <c r="H92" s="72" t="e">
        <f>SUM('Aprovet. Pedag. EB - FINAL 2025'!#REF!)</f>
        <v>#REF!</v>
      </c>
      <c r="I92" s="72" t="e">
        <f>SUM('Aprovet. Pedag. EB - FINAL 2025'!#REF!)</f>
        <v>#REF!</v>
      </c>
      <c r="J92" s="72" t="e">
        <f>SUM('Aprovet. Pedag. EB - FINAL 2025'!#REF!)</f>
        <v>#REF!</v>
      </c>
      <c r="K92" s="72" t="e">
        <f>SUM('Aprovet. Pedag. EB - FINAL 2025'!#REF!)</f>
        <v>#REF!</v>
      </c>
      <c r="L92" s="72" t="e">
        <f>SUM('Aprovet. Pedag. EB - FINAL 2025'!#REF!)</f>
        <v>#REF!</v>
      </c>
      <c r="M92" s="72" t="e">
        <f>SUM('Aprovet. Pedag. EB - FINAL 2025'!#REF!)</f>
        <v>#REF!</v>
      </c>
      <c r="N92" s="72" t="e">
        <f>SUM('Aprovet. Pedag. EB - FINAL 2025'!#REF!)</f>
        <v>#REF!</v>
      </c>
      <c r="O92" s="72" t="e">
        <f>SUM('Aprovet. Pedag. EB - FINAL 2025'!#REF!)</f>
        <v>#REF!</v>
      </c>
      <c r="P92" s="72" t="e">
        <f>SUM('Aprovet. Pedag. EB - FINAL 2025'!#REF!)</f>
        <v>#REF!</v>
      </c>
      <c r="Q92" s="72" t="e">
        <f>SUM('Aprovet. Pedag. EB - FINAL 2025'!#REF!)</f>
        <v>#REF!</v>
      </c>
      <c r="R92" s="72" t="e">
        <f>SUM('Aprovet. Pedag. EB - FINAL 2025'!#REF!)</f>
        <v>#REF!</v>
      </c>
      <c r="S92" s="72" t="e">
        <f>SUM('Aprovet. Pedag. EB - FINAL 2025'!#REF!)</f>
        <v>#REF!</v>
      </c>
      <c r="T92" s="72" t="e">
        <f>SUM('Aprovet. Pedag. EB - FINAL 2025'!#REF!)</f>
        <v>#REF!</v>
      </c>
      <c r="U92" s="72" t="e">
        <f>SUM('Aprovet. Pedag. EB - FINAL 2025'!#REF!)</f>
        <v>#REF!</v>
      </c>
      <c r="V92" s="72" t="e">
        <f>SUM('Aprovet. Pedag. EB - FINAL 2025'!#REF!)</f>
        <v>#REF!</v>
      </c>
      <c r="W92" s="72" t="e">
        <f>SUM('Aprovet. Pedag. EB - FINAL 2025'!#REF!)</f>
        <v>#REF!</v>
      </c>
      <c r="X92" s="72" t="e">
        <f>SUM('Aprovet. Pedag. EB - FINAL 2025'!#REF!)</f>
        <v>#REF!</v>
      </c>
      <c r="Y92" s="73" t="e">
        <f>SUM('Aprovet. Pedag. EB - FINAL 2025'!#REF!)</f>
        <v>#REF!</v>
      </c>
      <c r="Z92" s="73" t="e">
        <f>SUM('Aprovet. Pedag. EB - FINAL 2025'!#REF!)</f>
        <v>#REF!</v>
      </c>
      <c r="AA92" s="73" t="e">
        <f>SUM('Aprovet. Pedag. EB - FINAL 2025'!#REF!)</f>
        <v>#REF!</v>
      </c>
      <c r="AB92" s="73" t="e">
        <f>SUM('Aprovet. Pedag. EB - FINAL 2025'!#REF!)</f>
        <v>#REF!</v>
      </c>
    </row>
    <row r="93" spans="1:28" ht="20.100000000000001" customHeight="1">
      <c r="B93" s="71" t="s">
        <v>68</v>
      </c>
      <c r="C93" s="72" t="e">
        <f>SUM('Aprovet. Pedag. EB - FINAL 2025'!#REF!)</f>
        <v>#REF!</v>
      </c>
      <c r="D93" s="72" t="e">
        <f>SUM('Aprovet. Pedag. EB - FINAL 2025'!#REF!)</f>
        <v>#REF!</v>
      </c>
      <c r="E93" s="72" t="e">
        <f>SUM('Aprovet. Pedag. EB - FINAL 2025'!#REF!)</f>
        <v>#REF!</v>
      </c>
      <c r="F93" s="72" t="e">
        <f>SUM('Aprovet. Pedag. EB - FINAL 2025'!#REF!)</f>
        <v>#REF!</v>
      </c>
      <c r="G93" s="72" t="e">
        <f>SUM('Aprovet. Pedag. EB - FINAL 2025'!#REF!)</f>
        <v>#REF!</v>
      </c>
      <c r="H93" s="72" t="e">
        <f>SUM('Aprovet. Pedag. EB - FINAL 2025'!#REF!)</f>
        <v>#REF!</v>
      </c>
      <c r="I93" s="72" t="e">
        <f>SUM('Aprovet. Pedag. EB - FINAL 2025'!#REF!)</f>
        <v>#REF!</v>
      </c>
      <c r="J93" s="72" t="e">
        <f>SUM('Aprovet. Pedag. EB - FINAL 2025'!#REF!)</f>
        <v>#REF!</v>
      </c>
      <c r="K93" s="72" t="e">
        <f>SUM('Aprovet. Pedag. EB - FINAL 2025'!#REF!)</f>
        <v>#REF!</v>
      </c>
      <c r="L93" s="72" t="e">
        <f>SUM('Aprovet. Pedag. EB - FINAL 2025'!#REF!)</f>
        <v>#REF!</v>
      </c>
      <c r="M93" s="72" t="e">
        <f>SUM('Aprovet. Pedag. EB - FINAL 2025'!#REF!)</f>
        <v>#REF!</v>
      </c>
      <c r="N93" s="72" t="e">
        <f>SUM('Aprovet. Pedag. EB - FINAL 2025'!#REF!)</f>
        <v>#REF!</v>
      </c>
      <c r="O93" s="72" t="e">
        <f>SUM('Aprovet. Pedag. EB - FINAL 2025'!#REF!)</f>
        <v>#REF!</v>
      </c>
      <c r="P93" s="72" t="e">
        <f>SUM('Aprovet. Pedag. EB - FINAL 2025'!#REF!)</f>
        <v>#REF!</v>
      </c>
      <c r="Q93" s="72" t="e">
        <f>SUM('Aprovet. Pedag. EB - FINAL 2025'!#REF!)</f>
        <v>#REF!</v>
      </c>
      <c r="R93" s="72" t="e">
        <f>SUM('Aprovet. Pedag. EB - FINAL 2025'!#REF!)</f>
        <v>#REF!</v>
      </c>
      <c r="S93" s="72" t="e">
        <f>SUM('Aprovet. Pedag. EB - FINAL 2025'!#REF!)</f>
        <v>#REF!</v>
      </c>
      <c r="T93" s="72" t="e">
        <f>SUM('Aprovet. Pedag. EB - FINAL 2025'!#REF!)</f>
        <v>#REF!</v>
      </c>
      <c r="U93" s="72" t="e">
        <f>SUM('Aprovet. Pedag. EB - FINAL 2025'!#REF!)</f>
        <v>#REF!</v>
      </c>
      <c r="V93" s="72" t="e">
        <f>SUM('Aprovet. Pedag. EB - FINAL 2025'!#REF!)</f>
        <v>#REF!</v>
      </c>
      <c r="W93" s="72" t="e">
        <f>SUM('Aprovet. Pedag. EB - FINAL 2025'!#REF!)</f>
        <v>#REF!</v>
      </c>
      <c r="X93" s="72" t="e">
        <f>SUM('Aprovet. Pedag. EB - FINAL 2025'!#REF!)</f>
        <v>#REF!</v>
      </c>
      <c r="Y93" s="73" t="e">
        <f>SUM('Aprovet. Pedag. EB - FINAL 2025'!#REF!)</f>
        <v>#REF!</v>
      </c>
      <c r="Z93" s="73" t="e">
        <f>SUM('Aprovet. Pedag. EB - FINAL 2025'!#REF!)</f>
        <v>#REF!</v>
      </c>
      <c r="AA93" s="73" t="e">
        <f>SUM('Aprovet. Pedag. EB - FINAL 2025'!#REF!)</f>
        <v>#REF!</v>
      </c>
      <c r="AB93" s="73" t="e">
        <f>SUM('Aprovet. Pedag. EB - FINAL 2025'!#REF!)</f>
        <v>#REF!</v>
      </c>
    </row>
    <row r="94" spans="1:28" ht="20.100000000000001" customHeight="1">
      <c r="B94" s="71" t="s">
        <v>69</v>
      </c>
      <c r="C94" s="72" t="e">
        <f>SUM('Aprovet. Pedag. EB - FINAL 2025'!#REF!)</f>
        <v>#REF!</v>
      </c>
      <c r="D94" s="72" t="e">
        <f>SUM('Aprovet. Pedag. EB - FINAL 2025'!#REF!)</f>
        <v>#REF!</v>
      </c>
      <c r="E94" s="72" t="e">
        <f>SUM('Aprovet. Pedag. EB - FINAL 2025'!#REF!)</f>
        <v>#REF!</v>
      </c>
      <c r="F94" s="72" t="e">
        <f>SUM('Aprovet. Pedag. EB - FINAL 2025'!#REF!)</f>
        <v>#REF!</v>
      </c>
      <c r="G94" s="72" t="e">
        <f>SUM('Aprovet. Pedag. EB - FINAL 2025'!#REF!)</f>
        <v>#REF!</v>
      </c>
      <c r="H94" s="72" t="e">
        <f>SUM('Aprovet. Pedag. EB - FINAL 2025'!#REF!)</f>
        <v>#REF!</v>
      </c>
      <c r="I94" s="72" t="e">
        <f>SUM('Aprovet. Pedag. EB - FINAL 2025'!#REF!)</f>
        <v>#REF!</v>
      </c>
      <c r="J94" s="72" t="e">
        <f>SUM('Aprovet. Pedag. EB - FINAL 2025'!#REF!)</f>
        <v>#REF!</v>
      </c>
      <c r="K94" s="72" t="e">
        <f>SUM('Aprovet. Pedag. EB - FINAL 2025'!#REF!)</f>
        <v>#REF!</v>
      </c>
      <c r="L94" s="72" t="e">
        <f>SUM('Aprovet. Pedag. EB - FINAL 2025'!#REF!)</f>
        <v>#REF!</v>
      </c>
      <c r="M94" s="72" t="e">
        <f>SUM('Aprovet. Pedag. EB - FINAL 2025'!#REF!)</f>
        <v>#REF!</v>
      </c>
      <c r="N94" s="72" t="e">
        <f>SUM('Aprovet. Pedag. EB - FINAL 2025'!#REF!)</f>
        <v>#REF!</v>
      </c>
      <c r="O94" s="72" t="e">
        <f>SUM('Aprovet. Pedag. EB - FINAL 2025'!#REF!)</f>
        <v>#REF!</v>
      </c>
      <c r="P94" s="72" t="e">
        <f>SUM('Aprovet. Pedag. EB - FINAL 2025'!#REF!)</f>
        <v>#REF!</v>
      </c>
      <c r="Q94" s="72" t="e">
        <f>SUM('Aprovet. Pedag. EB - FINAL 2025'!#REF!)</f>
        <v>#REF!</v>
      </c>
      <c r="R94" s="72" t="e">
        <f>SUM('Aprovet. Pedag. EB - FINAL 2025'!#REF!)</f>
        <v>#REF!</v>
      </c>
      <c r="S94" s="72" t="e">
        <f>SUM('Aprovet. Pedag. EB - FINAL 2025'!#REF!)</f>
        <v>#REF!</v>
      </c>
      <c r="T94" s="72" t="e">
        <f>SUM('Aprovet. Pedag. EB - FINAL 2025'!#REF!)</f>
        <v>#REF!</v>
      </c>
      <c r="U94" s="72" t="e">
        <f>SUM('Aprovet. Pedag. EB - FINAL 2025'!#REF!)</f>
        <v>#REF!</v>
      </c>
      <c r="V94" s="72" t="e">
        <f>SUM('Aprovet. Pedag. EB - FINAL 2025'!#REF!)</f>
        <v>#REF!</v>
      </c>
      <c r="W94" s="72" t="e">
        <f>SUM('Aprovet. Pedag. EB - FINAL 2025'!#REF!)</f>
        <v>#REF!</v>
      </c>
      <c r="X94" s="72" t="e">
        <f>SUM('Aprovet. Pedag. EB - FINAL 2025'!#REF!)</f>
        <v>#REF!</v>
      </c>
      <c r="Y94" s="73" t="e">
        <f>SUM('Aprovet. Pedag. EB - FINAL 2025'!#REF!)</f>
        <v>#REF!</v>
      </c>
      <c r="Z94" s="73" t="e">
        <f>SUM('Aprovet. Pedag. EB - FINAL 2025'!#REF!)</f>
        <v>#REF!</v>
      </c>
      <c r="AA94" s="73" t="e">
        <f>SUM('Aprovet. Pedag. EB - FINAL 2025'!#REF!)</f>
        <v>#REF!</v>
      </c>
      <c r="AB94" s="73" t="e">
        <f>SUM('Aprovet. Pedag. EB - FINAL 2025'!#REF!)</f>
        <v>#REF!</v>
      </c>
    </row>
    <row r="95" spans="1:28" ht="20.100000000000001" customHeight="1">
      <c r="B95" s="71" t="s">
        <v>70</v>
      </c>
      <c r="C95" s="72" t="e">
        <f>SUM('Aprovet. Pedag. EB - FINAL 2025'!#REF!)</f>
        <v>#REF!</v>
      </c>
      <c r="D95" s="72" t="e">
        <f>SUM('Aprovet. Pedag. EB - FINAL 2025'!#REF!)</f>
        <v>#REF!</v>
      </c>
      <c r="E95" s="72" t="e">
        <f>SUM('Aprovet. Pedag. EB - FINAL 2025'!#REF!)</f>
        <v>#REF!</v>
      </c>
      <c r="F95" s="72" t="e">
        <f>SUM('Aprovet. Pedag. EB - FINAL 2025'!#REF!)</f>
        <v>#REF!</v>
      </c>
      <c r="G95" s="72" t="e">
        <f>SUM('Aprovet. Pedag. EB - FINAL 2025'!#REF!)</f>
        <v>#REF!</v>
      </c>
      <c r="H95" s="72" t="e">
        <f>SUM('Aprovet. Pedag. EB - FINAL 2025'!#REF!)</f>
        <v>#REF!</v>
      </c>
      <c r="I95" s="72" t="e">
        <f>SUM('Aprovet. Pedag. EB - FINAL 2025'!#REF!)</f>
        <v>#REF!</v>
      </c>
      <c r="J95" s="72" t="e">
        <f>SUM('Aprovet. Pedag. EB - FINAL 2025'!#REF!)</f>
        <v>#REF!</v>
      </c>
      <c r="K95" s="72" t="e">
        <f>SUM('Aprovet. Pedag. EB - FINAL 2025'!#REF!)</f>
        <v>#REF!</v>
      </c>
      <c r="L95" s="72" t="e">
        <f>SUM('Aprovet. Pedag. EB - FINAL 2025'!#REF!)</f>
        <v>#REF!</v>
      </c>
      <c r="M95" s="72" t="e">
        <f>SUM('Aprovet. Pedag. EB - FINAL 2025'!#REF!)</f>
        <v>#REF!</v>
      </c>
      <c r="N95" s="72" t="e">
        <f>SUM('Aprovet. Pedag. EB - FINAL 2025'!#REF!)</f>
        <v>#REF!</v>
      </c>
      <c r="O95" s="72" t="e">
        <f>SUM('Aprovet. Pedag. EB - FINAL 2025'!#REF!)</f>
        <v>#REF!</v>
      </c>
      <c r="P95" s="72" t="e">
        <f>SUM('Aprovet. Pedag. EB - FINAL 2025'!#REF!)</f>
        <v>#REF!</v>
      </c>
      <c r="Q95" s="72" t="e">
        <f>SUM('Aprovet. Pedag. EB - FINAL 2025'!#REF!)</f>
        <v>#REF!</v>
      </c>
      <c r="R95" s="72" t="e">
        <f>SUM('Aprovet. Pedag. EB - FINAL 2025'!#REF!)</f>
        <v>#REF!</v>
      </c>
      <c r="S95" s="72" t="e">
        <f>SUM('Aprovet. Pedag. EB - FINAL 2025'!#REF!)</f>
        <v>#REF!</v>
      </c>
      <c r="T95" s="72" t="e">
        <f>SUM('Aprovet. Pedag. EB - FINAL 2025'!#REF!)</f>
        <v>#REF!</v>
      </c>
      <c r="U95" s="72" t="e">
        <f>SUM('Aprovet. Pedag. EB - FINAL 2025'!#REF!)</f>
        <v>#REF!</v>
      </c>
      <c r="V95" s="72" t="e">
        <f>SUM('Aprovet. Pedag. EB - FINAL 2025'!#REF!)</f>
        <v>#REF!</v>
      </c>
      <c r="W95" s="72" t="e">
        <f>SUM('Aprovet. Pedag. EB - FINAL 2025'!#REF!)</f>
        <v>#REF!</v>
      </c>
      <c r="X95" s="72" t="e">
        <f>SUM('Aprovet. Pedag. EB - FINAL 2025'!#REF!)</f>
        <v>#REF!</v>
      </c>
      <c r="Y95" s="73" t="e">
        <f>SUM('Aprovet. Pedag. EB - FINAL 2025'!#REF!)</f>
        <v>#REF!</v>
      </c>
      <c r="Z95" s="73" t="e">
        <f>SUM('Aprovet. Pedag. EB - FINAL 2025'!#REF!)</f>
        <v>#REF!</v>
      </c>
      <c r="AA95" s="73" t="e">
        <f>SUM('Aprovet. Pedag. EB - FINAL 2025'!#REF!)</f>
        <v>#REF!</v>
      </c>
      <c r="AB95" s="73" t="e">
        <f>SUM('Aprovet. Pedag. EB - FINAL 2025'!#REF!)</f>
        <v>#REF!</v>
      </c>
    </row>
    <row r="96" spans="1:28" ht="20.100000000000001" customHeight="1">
      <c r="B96" s="71" t="s">
        <v>71</v>
      </c>
      <c r="C96" s="72" t="e">
        <f>SUM('Aprovet. Pedag. EB - FINAL 2025'!#REF!)</f>
        <v>#REF!</v>
      </c>
      <c r="D96" s="72" t="e">
        <f>SUM('Aprovet. Pedag. EB - FINAL 2025'!#REF!)</f>
        <v>#REF!</v>
      </c>
      <c r="E96" s="72" t="e">
        <f>SUM('Aprovet. Pedag. EB - FINAL 2025'!#REF!)</f>
        <v>#REF!</v>
      </c>
      <c r="F96" s="72" t="e">
        <f>SUM('Aprovet. Pedag. EB - FINAL 2025'!#REF!)</f>
        <v>#REF!</v>
      </c>
      <c r="G96" s="72" t="e">
        <f>SUM('Aprovet. Pedag. EB - FINAL 2025'!#REF!)</f>
        <v>#REF!</v>
      </c>
      <c r="H96" s="72" t="e">
        <f>SUM('Aprovet. Pedag. EB - FINAL 2025'!#REF!)</f>
        <v>#REF!</v>
      </c>
      <c r="I96" s="72" t="e">
        <f>SUM('Aprovet. Pedag. EB - FINAL 2025'!#REF!)</f>
        <v>#REF!</v>
      </c>
      <c r="J96" s="72" t="e">
        <f>SUM('Aprovet. Pedag. EB - FINAL 2025'!#REF!)</f>
        <v>#REF!</v>
      </c>
      <c r="K96" s="72" t="e">
        <f>SUM('Aprovet. Pedag. EB - FINAL 2025'!#REF!)</f>
        <v>#REF!</v>
      </c>
      <c r="L96" s="72" t="e">
        <f>SUM('Aprovet. Pedag. EB - FINAL 2025'!#REF!)</f>
        <v>#REF!</v>
      </c>
      <c r="M96" s="72" t="e">
        <f>SUM('Aprovet. Pedag. EB - FINAL 2025'!#REF!)</f>
        <v>#REF!</v>
      </c>
      <c r="N96" s="72" t="e">
        <f>SUM('Aprovet. Pedag. EB - FINAL 2025'!#REF!)</f>
        <v>#REF!</v>
      </c>
      <c r="O96" s="72" t="e">
        <f>SUM('Aprovet. Pedag. EB - FINAL 2025'!#REF!)</f>
        <v>#REF!</v>
      </c>
      <c r="P96" s="72" t="e">
        <f>SUM('Aprovet. Pedag. EB - FINAL 2025'!#REF!)</f>
        <v>#REF!</v>
      </c>
      <c r="Q96" s="72" t="e">
        <f>SUM('Aprovet. Pedag. EB - FINAL 2025'!#REF!)</f>
        <v>#REF!</v>
      </c>
      <c r="R96" s="72" t="e">
        <f>SUM('Aprovet. Pedag. EB - FINAL 2025'!#REF!)</f>
        <v>#REF!</v>
      </c>
      <c r="S96" s="72" t="e">
        <f>SUM('Aprovet. Pedag. EB - FINAL 2025'!#REF!)</f>
        <v>#REF!</v>
      </c>
      <c r="T96" s="72" t="e">
        <f>SUM('Aprovet. Pedag. EB - FINAL 2025'!#REF!)</f>
        <v>#REF!</v>
      </c>
      <c r="U96" s="72" t="e">
        <f>SUM('Aprovet. Pedag. EB - FINAL 2025'!#REF!)</f>
        <v>#REF!</v>
      </c>
      <c r="V96" s="72" t="e">
        <f>SUM('Aprovet. Pedag. EB - FINAL 2025'!#REF!)</f>
        <v>#REF!</v>
      </c>
      <c r="W96" s="72" t="e">
        <f>SUM('Aprovet. Pedag. EB - FINAL 2025'!#REF!)</f>
        <v>#REF!</v>
      </c>
      <c r="X96" s="72" t="e">
        <f>SUM('Aprovet. Pedag. EB - FINAL 2025'!#REF!)</f>
        <v>#REF!</v>
      </c>
      <c r="Y96" s="73" t="e">
        <f>SUM('Aprovet. Pedag. EB - FINAL 2025'!#REF!)</f>
        <v>#REF!</v>
      </c>
      <c r="Z96" s="73" t="e">
        <f>SUM('Aprovet. Pedag. EB - FINAL 2025'!#REF!)</f>
        <v>#REF!</v>
      </c>
      <c r="AA96" s="73" t="e">
        <f>SUM('Aprovet. Pedag. EB - FINAL 2025'!#REF!)</f>
        <v>#REF!</v>
      </c>
      <c r="AB96" s="73" t="e">
        <f>SUM('Aprovet. Pedag. EB - FINAL 2025'!#REF!)</f>
        <v>#REF!</v>
      </c>
    </row>
    <row r="97" spans="2:28" ht="20.100000000000001" customHeight="1">
      <c r="B97" s="71" t="s">
        <v>72</v>
      </c>
      <c r="C97" s="72" t="e">
        <f>SUM('Aprovet. Pedag. EB - FINAL 2025'!#REF!)</f>
        <v>#REF!</v>
      </c>
      <c r="D97" s="72" t="e">
        <f>SUM('Aprovet. Pedag. EB - FINAL 2025'!#REF!)</f>
        <v>#REF!</v>
      </c>
      <c r="E97" s="72" t="e">
        <f>SUM('Aprovet. Pedag. EB - FINAL 2025'!#REF!)</f>
        <v>#REF!</v>
      </c>
      <c r="F97" s="72" t="e">
        <f>SUM('Aprovet. Pedag. EB - FINAL 2025'!#REF!)</f>
        <v>#REF!</v>
      </c>
      <c r="G97" s="72" t="e">
        <f>SUM('Aprovet. Pedag. EB - FINAL 2025'!#REF!)</f>
        <v>#REF!</v>
      </c>
      <c r="H97" s="72" t="e">
        <f>SUM('Aprovet. Pedag. EB - FINAL 2025'!#REF!)</f>
        <v>#REF!</v>
      </c>
      <c r="I97" s="72" t="e">
        <f>SUM('Aprovet. Pedag. EB - FINAL 2025'!#REF!)</f>
        <v>#REF!</v>
      </c>
      <c r="J97" s="72" t="e">
        <f>SUM('Aprovet. Pedag. EB - FINAL 2025'!#REF!)</f>
        <v>#REF!</v>
      </c>
      <c r="K97" s="72" t="e">
        <f>SUM('Aprovet. Pedag. EB - FINAL 2025'!#REF!)</f>
        <v>#REF!</v>
      </c>
      <c r="L97" s="72" t="e">
        <f>SUM('Aprovet. Pedag. EB - FINAL 2025'!#REF!)</f>
        <v>#REF!</v>
      </c>
      <c r="M97" s="72" t="e">
        <f>SUM('Aprovet. Pedag. EB - FINAL 2025'!#REF!)</f>
        <v>#REF!</v>
      </c>
      <c r="N97" s="72" t="e">
        <f>SUM('Aprovet. Pedag. EB - FINAL 2025'!#REF!)</f>
        <v>#REF!</v>
      </c>
      <c r="O97" s="72" t="e">
        <f>SUM('Aprovet. Pedag. EB - FINAL 2025'!#REF!)</f>
        <v>#REF!</v>
      </c>
      <c r="P97" s="72" t="e">
        <f>SUM('Aprovet. Pedag. EB - FINAL 2025'!#REF!)</f>
        <v>#REF!</v>
      </c>
      <c r="Q97" s="72" t="e">
        <f>SUM('Aprovet. Pedag. EB - FINAL 2025'!#REF!)</f>
        <v>#REF!</v>
      </c>
      <c r="R97" s="72" t="e">
        <f>SUM('Aprovet. Pedag. EB - FINAL 2025'!#REF!)</f>
        <v>#REF!</v>
      </c>
      <c r="S97" s="72" t="e">
        <f>SUM('Aprovet. Pedag. EB - FINAL 2025'!#REF!)</f>
        <v>#REF!</v>
      </c>
      <c r="T97" s="72" t="e">
        <f>SUM('Aprovet. Pedag. EB - FINAL 2025'!#REF!)</f>
        <v>#REF!</v>
      </c>
      <c r="U97" s="72" t="e">
        <f>SUM('Aprovet. Pedag. EB - FINAL 2025'!#REF!)</f>
        <v>#REF!</v>
      </c>
      <c r="V97" s="72" t="e">
        <f>SUM('Aprovet. Pedag. EB - FINAL 2025'!#REF!)</f>
        <v>#REF!</v>
      </c>
      <c r="W97" s="72" t="e">
        <f>SUM('Aprovet. Pedag. EB - FINAL 2025'!#REF!)</f>
        <v>#REF!</v>
      </c>
      <c r="X97" s="72" t="e">
        <f>SUM('Aprovet. Pedag. EB - FINAL 2025'!#REF!)</f>
        <v>#REF!</v>
      </c>
      <c r="Y97" s="73" t="e">
        <f>SUM('Aprovet. Pedag. EB - FINAL 2025'!#REF!)</f>
        <v>#REF!</v>
      </c>
      <c r="Z97" s="73" t="e">
        <f>SUM('Aprovet. Pedag. EB - FINAL 2025'!#REF!)</f>
        <v>#REF!</v>
      </c>
      <c r="AA97" s="73" t="e">
        <f>SUM('Aprovet. Pedag. EB - FINAL 2025'!#REF!)</f>
        <v>#REF!</v>
      </c>
      <c r="AB97" s="73" t="e">
        <f>SUM('Aprovet. Pedag. EB - FINAL 2025'!#REF!)</f>
        <v>#REF!</v>
      </c>
    </row>
    <row r="98" spans="2:28" ht="20.100000000000001" customHeight="1">
      <c r="B98" s="71" t="s">
        <v>73</v>
      </c>
      <c r="C98" s="72" t="e">
        <f>SUM('Aprovet. Pedag. EB - FINAL 2025'!#REF!)</f>
        <v>#REF!</v>
      </c>
      <c r="D98" s="72" t="e">
        <f>SUM('Aprovet. Pedag. EB - FINAL 2025'!#REF!)</f>
        <v>#REF!</v>
      </c>
      <c r="E98" s="72" t="e">
        <f>SUM('Aprovet. Pedag. EB - FINAL 2025'!#REF!)</f>
        <v>#REF!</v>
      </c>
      <c r="F98" s="72" t="e">
        <f>SUM('Aprovet. Pedag. EB - FINAL 2025'!#REF!)</f>
        <v>#REF!</v>
      </c>
      <c r="G98" s="72" t="e">
        <f>SUM('Aprovet. Pedag. EB - FINAL 2025'!#REF!)</f>
        <v>#REF!</v>
      </c>
      <c r="H98" s="72" t="e">
        <f>SUM('Aprovet. Pedag. EB - FINAL 2025'!#REF!)</f>
        <v>#REF!</v>
      </c>
      <c r="I98" s="72" t="e">
        <f>SUM('Aprovet. Pedag. EB - FINAL 2025'!#REF!)</f>
        <v>#REF!</v>
      </c>
      <c r="J98" s="72" t="e">
        <f>SUM('Aprovet. Pedag. EB - FINAL 2025'!#REF!)</f>
        <v>#REF!</v>
      </c>
      <c r="K98" s="72" t="e">
        <f>SUM('Aprovet. Pedag. EB - FINAL 2025'!#REF!)</f>
        <v>#REF!</v>
      </c>
      <c r="L98" s="72" t="e">
        <f>SUM('Aprovet. Pedag. EB - FINAL 2025'!#REF!)</f>
        <v>#REF!</v>
      </c>
      <c r="M98" s="72" t="e">
        <f>SUM('Aprovet. Pedag. EB - FINAL 2025'!#REF!)</f>
        <v>#REF!</v>
      </c>
      <c r="N98" s="72" t="e">
        <f>SUM('Aprovet. Pedag. EB - FINAL 2025'!#REF!)</f>
        <v>#REF!</v>
      </c>
      <c r="O98" s="72" t="e">
        <f>SUM('Aprovet. Pedag. EB - FINAL 2025'!#REF!)</f>
        <v>#REF!</v>
      </c>
      <c r="P98" s="72" t="e">
        <f>SUM('Aprovet. Pedag. EB - FINAL 2025'!#REF!)</f>
        <v>#REF!</v>
      </c>
      <c r="Q98" s="72" t="e">
        <f>SUM('Aprovet. Pedag. EB - FINAL 2025'!#REF!)</f>
        <v>#REF!</v>
      </c>
      <c r="R98" s="72" t="e">
        <f>SUM('Aprovet. Pedag. EB - FINAL 2025'!#REF!)</f>
        <v>#REF!</v>
      </c>
      <c r="S98" s="72" t="e">
        <f>SUM('Aprovet. Pedag. EB - FINAL 2025'!#REF!)</f>
        <v>#REF!</v>
      </c>
      <c r="T98" s="72" t="e">
        <f>SUM('Aprovet. Pedag. EB - FINAL 2025'!#REF!)</f>
        <v>#REF!</v>
      </c>
      <c r="U98" s="72" t="e">
        <f>SUM('Aprovet. Pedag. EB - FINAL 2025'!#REF!)</f>
        <v>#REF!</v>
      </c>
      <c r="V98" s="72" t="e">
        <f>SUM('Aprovet. Pedag. EB - FINAL 2025'!#REF!)</f>
        <v>#REF!</v>
      </c>
      <c r="W98" s="72" t="e">
        <f>SUM('Aprovet. Pedag. EB - FINAL 2025'!#REF!)</f>
        <v>#REF!</v>
      </c>
      <c r="X98" s="72" t="e">
        <f>SUM('Aprovet. Pedag. EB - FINAL 2025'!#REF!)</f>
        <v>#REF!</v>
      </c>
      <c r="Y98" s="73" t="e">
        <f>SUM('Aprovet. Pedag. EB - FINAL 2025'!#REF!)</f>
        <v>#REF!</v>
      </c>
      <c r="Z98" s="73" t="e">
        <f>SUM('Aprovet. Pedag. EB - FINAL 2025'!#REF!)</f>
        <v>#REF!</v>
      </c>
      <c r="AA98" s="73" t="e">
        <f>SUM('Aprovet. Pedag. EB - FINAL 2025'!#REF!)</f>
        <v>#REF!</v>
      </c>
      <c r="AB98" s="73" t="e">
        <f>SUM('Aprovet. Pedag. EB - FINAL 2025'!#REF!)</f>
        <v>#REF!</v>
      </c>
    </row>
    <row r="99" spans="2:28" ht="20.100000000000001" customHeight="1">
      <c r="B99" s="71" t="s">
        <v>74</v>
      </c>
      <c r="C99" s="72" t="e">
        <f>SUM('Aprovet. Pedag. EB - FINAL 2025'!#REF!)</f>
        <v>#REF!</v>
      </c>
      <c r="D99" s="72" t="e">
        <f>SUM('Aprovet. Pedag. EB - FINAL 2025'!#REF!)</f>
        <v>#REF!</v>
      </c>
      <c r="E99" s="72" t="e">
        <f>SUM('Aprovet. Pedag. EB - FINAL 2025'!#REF!)</f>
        <v>#REF!</v>
      </c>
      <c r="F99" s="72" t="e">
        <f>SUM('Aprovet. Pedag. EB - FINAL 2025'!#REF!)</f>
        <v>#REF!</v>
      </c>
      <c r="G99" s="72" t="e">
        <f>SUM('Aprovet. Pedag. EB - FINAL 2025'!#REF!)</f>
        <v>#REF!</v>
      </c>
      <c r="H99" s="72" t="e">
        <f>SUM('Aprovet. Pedag. EB - FINAL 2025'!#REF!)</f>
        <v>#REF!</v>
      </c>
      <c r="I99" s="72" t="e">
        <f>SUM('Aprovet. Pedag. EB - FINAL 2025'!#REF!)</f>
        <v>#REF!</v>
      </c>
      <c r="J99" s="72" t="e">
        <f>SUM('Aprovet. Pedag. EB - FINAL 2025'!#REF!)</f>
        <v>#REF!</v>
      </c>
      <c r="K99" s="72" t="e">
        <f>SUM('Aprovet. Pedag. EB - FINAL 2025'!#REF!)</f>
        <v>#REF!</v>
      </c>
      <c r="L99" s="72" t="e">
        <f>SUM('Aprovet. Pedag. EB - FINAL 2025'!#REF!)</f>
        <v>#REF!</v>
      </c>
      <c r="M99" s="72" t="e">
        <f>SUM('Aprovet. Pedag. EB - FINAL 2025'!#REF!)</f>
        <v>#REF!</v>
      </c>
      <c r="N99" s="72" t="e">
        <f>SUM('Aprovet. Pedag. EB - FINAL 2025'!#REF!)</f>
        <v>#REF!</v>
      </c>
      <c r="O99" s="72" t="e">
        <f>SUM('Aprovet. Pedag. EB - FINAL 2025'!#REF!)</f>
        <v>#REF!</v>
      </c>
      <c r="P99" s="72" t="e">
        <f>SUM('Aprovet. Pedag. EB - FINAL 2025'!#REF!)</f>
        <v>#REF!</v>
      </c>
      <c r="Q99" s="72" t="e">
        <f>SUM('Aprovet. Pedag. EB - FINAL 2025'!#REF!)</f>
        <v>#REF!</v>
      </c>
      <c r="R99" s="72" t="e">
        <f>SUM('Aprovet. Pedag. EB - FINAL 2025'!#REF!)</f>
        <v>#REF!</v>
      </c>
      <c r="S99" s="72" t="e">
        <f>SUM('Aprovet. Pedag. EB - FINAL 2025'!#REF!)</f>
        <v>#REF!</v>
      </c>
      <c r="T99" s="72" t="e">
        <f>SUM('Aprovet. Pedag. EB - FINAL 2025'!#REF!)</f>
        <v>#REF!</v>
      </c>
      <c r="U99" s="72" t="e">
        <f>SUM('Aprovet. Pedag. EB - FINAL 2025'!#REF!)</f>
        <v>#REF!</v>
      </c>
      <c r="V99" s="72" t="e">
        <f>SUM('Aprovet. Pedag. EB - FINAL 2025'!#REF!)</f>
        <v>#REF!</v>
      </c>
      <c r="W99" s="72" t="e">
        <f>SUM('Aprovet. Pedag. EB - FINAL 2025'!#REF!)</f>
        <v>#REF!</v>
      </c>
      <c r="X99" s="72" t="e">
        <f>SUM('Aprovet. Pedag. EB - FINAL 2025'!#REF!)</f>
        <v>#REF!</v>
      </c>
      <c r="Y99" s="73" t="e">
        <f>SUM('Aprovet. Pedag. EB - FINAL 2025'!#REF!)</f>
        <v>#REF!</v>
      </c>
      <c r="Z99" s="73" t="e">
        <f>SUM('Aprovet. Pedag. EB - FINAL 2025'!#REF!)</f>
        <v>#REF!</v>
      </c>
      <c r="AA99" s="73" t="e">
        <f>SUM('Aprovet. Pedag. EB - FINAL 2025'!#REF!)</f>
        <v>#REF!</v>
      </c>
      <c r="AB99" s="73" t="e">
        <f>SUM('Aprovet. Pedag. EB - FINAL 2025'!#REF!)</f>
        <v>#REF!</v>
      </c>
    </row>
    <row r="100" spans="2:28" ht="20.100000000000001" customHeight="1">
      <c r="B100" s="71" t="s">
        <v>75</v>
      </c>
      <c r="C100" s="72" t="e">
        <f>SUM('Aprovet. Pedag. EB - FINAL 2025'!#REF!)</f>
        <v>#REF!</v>
      </c>
      <c r="D100" s="72" t="e">
        <f>SUM('Aprovet. Pedag. EB - FINAL 2025'!#REF!)</f>
        <v>#REF!</v>
      </c>
      <c r="E100" s="72" t="e">
        <f>SUM('Aprovet. Pedag. EB - FINAL 2025'!#REF!)</f>
        <v>#REF!</v>
      </c>
      <c r="F100" s="72" t="e">
        <f>SUM('Aprovet. Pedag. EB - FINAL 2025'!#REF!)</f>
        <v>#REF!</v>
      </c>
      <c r="G100" s="72" t="e">
        <f>SUM('Aprovet. Pedag. EB - FINAL 2025'!#REF!)</f>
        <v>#REF!</v>
      </c>
      <c r="H100" s="72" t="e">
        <f>SUM('Aprovet. Pedag. EB - FINAL 2025'!#REF!)</f>
        <v>#REF!</v>
      </c>
      <c r="I100" s="72" t="e">
        <f>SUM('Aprovet. Pedag. EB - FINAL 2025'!#REF!)</f>
        <v>#REF!</v>
      </c>
      <c r="J100" s="72" t="e">
        <f>SUM('Aprovet. Pedag. EB - FINAL 2025'!#REF!)</f>
        <v>#REF!</v>
      </c>
      <c r="K100" s="72" t="e">
        <f>SUM('Aprovet. Pedag. EB - FINAL 2025'!#REF!)</f>
        <v>#REF!</v>
      </c>
      <c r="L100" s="72" t="e">
        <f>SUM('Aprovet. Pedag. EB - FINAL 2025'!#REF!)</f>
        <v>#REF!</v>
      </c>
      <c r="M100" s="72" t="e">
        <f>SUM('Aprovet. Pedag. EB - FINAL 2025'!#REF!)</f>
        <v>#REF!</v>
      </c>
      <c r="N100" s="72" t="e">
        <f>SUM('Aprovet. Pedag. EB - FINAL 2025'!#REF!)</f>
        <v>#REF!</v>
      </c>
      <c r="O100" s="72" t="e">
        <f>SUM('Aprovet. Pedag. EB - FINAL 2025'!#REF!)</f>
        <v>#REF!</v>
      </c>
      <c r="P100" s="72" t="e">
        <f>SUM('Aprovet. Pedag. EB - FINAL 2025'!#REF!)</f>
        <v>#REF!</v>
      </c>
      <c r="Q100" s="72" t="e">
        <f>SUM('Aprovet. Pedag. EB - FINAL 2025'!#REF!)</f>
        <v>#REF!</v>
      </c>
      <c r="R100" s="72" t="e">
        <f>SUM('Aprovet. Pedag. EB - FINAL 2025'!#REF!)</f>
        <v>#REF!</v>
      </c>
      <c r="S100" s="72" t="e">
        <f>SUM('Aprovet. Pedag. EB - FINAL 2025'!#REF!)</f>
        <v>#REF!</v>
      </c>
      <c r="T100" s="72" t="e">
        <f>SUM('Aprovet. Pedag. EB - FINAL 2025'!#REF!)</f>
        <v>#REF!</v>
      </c>
      <c r="U100" s="72" t="e">
        <f>SUM('Aprovet. Pedag. EB - FINAL 2025'!#REF!)</f>
        <v>#REF!</v>
      </c>
      <c r="V100" s="72" t="e">
        <f>SUM('Aprovet. Pedag. EB - FINAL 2025'!#REF!)</f>
        <v>#REF!</v>
      </c>
      <c r="W100" s="72" t="e">
        <f>SUM('Aprovet. Pedag. EB - FINAL 2025'!#REF!)</f>
        <v>#REF!</v>
      </c>
      <c r="X100" s="72" t="e">
        <f>SUM('Aprovet. Pedag. EB - FINAL 2025'!#REF!)</f>
        <v>#REF!</v>
      </c>
      <c r="Y100" s="73" t="e">
        <f>SUM('Aprovet. Pedag. EB - FINAL 2025'!#REF!)</f>
        <v>#REF!</v>
      </c>
      <c r="Z100" s="73" t="e">
        <f>SUM('Aprovet. Pedag. EB - FINAL 2025'!#REF!)</f>
        <v>#REF!</v>
      </c>
      <c r="AA100" s="73" t="e">
        <f>SUM('Aprovet. Pedag. EB - FINAL 2025'!#REF!)</f>
        <v>#REF!</v>
      </c>
      <c r="AB100" s="73" t="e">
        <f>SUM('Aprovet. Pedag. EB - FINAL 2025'!#REF!)</f>
        <v>#REF!</v>
      </c>
    </row>
    <row r="101" spans="2:28" ht="20.100000000000001" customHeight="1">
      <c r="B101" s="71" t="s">
        <v>76</v>
      </c>
      <c r="C101" s="72" t="e">
        <f>SUM('Aprovet. Pedag. EB - FINAL 2025'!#REF!)</f>
        <v>#REF!</v>
      </c>
      <c r="D101" s="72" t="e">
        <f>SUM('Aprovet. Pedag. EB - FINAL 2025'!#REF!)</f>
        <v>#REF!</v>
      </c>
      <c r="E101" s="72" t="e">
        <f>SUM('Aprovet. Pedag. EB - FINAL 2025'!#REF!)</f>
        <v>#REF!</v>
      </c>
      <c r="F101" s="72" t="e">
        <f>SUM('Aprovet. Pedag. EB - FINAL 2025'!#REF!)</f>
        <v>#REF!</v>
      </c>
      <c r="G101" s="72" t="e">
        <f>SUM('Aprovet. Pedag. EB - FINAL 2025'!#REF!)</f>
        <v>#REF!</v>
      </c>
      <c r="H101" s="72" t="e">
        <f>SUM('Aprovet. Pedag. EB - FINAL 2025'!#REF!)</f>
        <v>#REF!</v>
      </c>
      <c r="I101" s="72" t="e">
        <f>SUM('Aprovet. Pedag. EB - FINAL 2025'!#REF!)</f>
        <v>#REF!</v>
      </c>
      <c r="J101" s="72" t="e">
        <f>SUM('Aprovet. Pedag. EB - FINAL 2025'!#REF!)</f>
        <v>#REF!</v>
      </c>
      <c r="K101" s="72" t="e">
        <f>SUM('Aprovet. Pedag. EB - FINAL 2025'!#REF!)</f>
        <v>#REF!</v>
      </c>
      <c r="L101" s="72" t="e">
        <f>SUM('Aprovet. Pedag. EB - FINAL 2025'!#REF!)</f>
        <v>#REF!</v>
      </c>
      <c r="M101" s="72" t="e">
        <f>SUM('Aprovet. Pedag. EB - FINAL 2025'!#REF!)</f>
        <v>#REF!</v>
      </c>
      <c r="N101" s="72" t="e">
        <f>SUM('Aprovet. Pedag. EB - FINAL 2025'!#REF!)</f>
        <v>#REF!</v>
      </c>
      <c r="O101" s="72" t="e">
        <f>SUM('Aprovet. Pedag. EB - FINAL 2025'!#REF!)</f>
        <v>#REF!</v>
      </c>
      <c r="P101" s="72" t="e">
        <f>SUM('Aprovet. Pedag. EB - FINAL 2025'!#REF!)</f>
        <v>#REF!</v>
      </c>
      <c r="Q101" s="72" t="e">
        <f>SUM('Aprovet. Pedag. EB - FINAL 2025'!#REF!)</f>
        <v>#REF!</v>
      </c>
      <c r="R101" s="72" t="e">
        <f>SUM('Aprovet. Pedag. EB - FINAL 2025'!#REF!)</f>
        <v>#REF!</v>
      </c>
      <c r="S101" s="72" t="e">
        <f>SUM('Aprovet. Pedag. EB - FINAL 2025'!#REF!)</f>
        <v>#REF!</v>
      </c>
      <c r="T101" s="72" t="e">
        <f>SUM('Aprovet. Pedag. EB - FINAL 2025'!#REF!)</f>
        <v>#REF!</v>
      </c>
      <c r="U101" s="72" t="e">
        <f>SUM('Aprovet. Pedag. EB - FINAL 2025'!#REF!)</f>
        <v>#REF!</v>
      </c>
      <c r="V101" s="72" t="e">
        <f>SUM('Aprovet. Pedag. EB - FINAL 2025'!#REF!)</f>
        <v>#REF!</v>
      </c>
      <c r="W101" s="72" t="e">
        <f>SUM('Aprovet. Pedag. EB - FINAL 2025'!#REF!)</f>
        <v>#REF!</v>
      </c>
      <c r="X101" s="72" t="e">
        <f>SUM('Aprovet. Pedag. EB - FINAL 2025'!#REF!)</f>
        <v>#REF!</v>
      </c>
      <c r="Y101" s="73" t="e">
        <f>SUM('Aprovet. Pedag. EB - FINAL 2025'!#REF!)</f>
        <v>#REF!</v>
      </c>
      <c r="Z101" s="73" t="e">
        <f>SUM('Aprovet. Pedag. EB - FINAL 2025'!#REF!)</f>
        <v>#REF!</v>
      </c>
      <c r="AA101" s="73" t="e">
        <f>SUM('Aprovet. Pedag. EB - FINAL 2025'!#REF!)</f>
        <v>#REF!</v>
      </c>
      <c r="AB101" s="73" t="e">
        <f>SUM('Aprovet. Pedag. EB - FINAL 2025'!#REF!)</f>
        <v>#REF!</v>
      </c>
    </row>
    <row r="102" spans="2:28" ht="20.100000000000001" customHeight="1">
      <c r="B102" s="71" t="s">
        <v>77</v>
      </c>
      <c r="C102" s="72" t="e">
        <f>SUM('Aprovet. Pedag. EB - FINAL 2025'!#REF!)</f>
        <v>#REF!</v>
      </c>
      <c r="D102" s="72" t="e">
        <f>SUM('Aprovet. Pedag. EB - FINAL 2025'!#REF!)</f>
        <v>#REF!</v>
      </c>
      <c r="E102" s="72" t="e">
        <f>SUM('Aprovet. Pedag. EB - FINAL 2025'!#REF!)</f>
        <v>#REF!</v>
      </c>
      <c r="F102" s="72" t="e">
        <f>SUM('Aprovet. Pedag. EB - FINAL 2025'!#REF!)</f>
        <v>#REF!</v>
      </c>
      <c r="G102" s="72" t="e">
        <f>SUM('Aprovet. Pedag. EB - FINAL 2025'!#REF!)</f>
        <v>#REF!</v>
      </c>
      <c r="H102" s="72" t="e">
        <f>SUM('Aprovet. Pedag. EB - FINAL 2025'!#REF!)</f>
        <v>#REF!</v>
      </c>
      <c r="I102" s="72" t="e">
        <f>SUM('Aprovet. Pedag. EB - FINAL 2025'!#REF!)</f>
        <v>#REF!</v>
      </c>
      <c r="J102" s="72" t="e">
        <f>SUM('Aprovet. Pedag. EB - FINAL 2025'!#REF!)</f>
        <v>#REF!</v>
      </c>
      <c r="K102" s="72" t="e">
        <f>SUM('Aprovet. Pedag. EB - FINAL 2025'!#REF!)</f>
        <v>#REF!</v>
      </c>
      <c r="L102" s="72" t="e">
        <f>SUM('Aprovet. Pedag. EB - FINAL 2025'!#REF!)</f>
        <v>#REF!</v>
      </c>
      <c r="M102" s="72" t="e">
        <f>SUM('Aprovet. Pedag. EB - FINAL 2025'!#REF!)</f>
        <v>#REF!</v>
      </c>
      <c r="N102" s="72" t="e">
        <f>SUM('Aprovet. Pedag. EB - FINAL 2025'!#REF!)</f>
        <v>#REF!</v>
      </c>
      <c r="O102" s="72" t="e">
        <f>SUM('Aprovet. Pedag. EB - FINAL 2025'!#REF!)</f>
        <v>#REF!</v>
      </c>
      <c r="P102" s="72" t="e">
        <f>SUM('Aprovet. Pedag. EB - FINAL 2025'!#REF!)</f>
        <v>#REF!</v>
      </c>
      <c r="Q102" s="72" t="e">
        <f>SUM('Aprovet. Pedag. EB - FINAL 2025'!#REF!)</f>
        <v>#REF!</v>
      </c>
      <c r="R102" s="72" t="e">
        <f>SUM('Aprovet. Pedag. EB - FINAL 2025'!#REF!)</f>
        <v>#REF!</v>
      </c>
      <c r="S102" s="72" t="e">
        <f>SUM('Aprovet. Pedag. EB - FINAL 2025'!#REF!)</f>
        <v>#REF!</v>
      </c>
      <c r="T102" s="72" t="e">
        <f>SUM('Aprovet. Pedag. EB - FINAL 2025'!#REF!)</f>
        <v>#REF!</v>
      </c>
      <c r="U102" s="72" t="e">
        <f>SUM('Aprovet. Pedag. EB - FINAL 2025'!#REF!)</f>
        <v>#REF!</v>
      </c>
      <c r="V102" s="72" t="e">
        <f>SUM('Aprovet. Pedag. EB - FINAL 2025'!#REF!)</f>
        <v>#REF!</v>
      </c>
      <c r="W102" s="72" t="e">
        <f>SUM('Aprovet. Pedag. EB - FINAL 2025'!#REF!)</f>
        <v>#REF!</v>
      </c>
      <c r="X102" s="72" t="e">
        <f>SUM('Aprovet. Pedag. EB - FINAL 2025'!#REF!)</f>
        <v>#REF!</v>
      </c>
      <c r="Y102" s="73" t="e">
        <f>SUM('Aprovet. Pedag. EB - FINAL 2025'!#REF!)</f>
        <v>#REF!</v>
      </c>
      <c r="Z102" s="73" t="e">
        <f>SUM('Aprovet. Pedag. EB - FINAL 2025'!#REF!)</f>
        <v>#REF!</v>
      </c>
      <c r="AA102" s="73" t="e">
        <f>SUM('Aprovet. Pedag. EB - FINAL 2025'!#REF!)</f>
        <v>#REF!</v>
      </c>
      <c r="AB102" s="73" t="e">
        <f>SUM('Aprovet. Pedag. EB - FINAL 2025'!#REF!)</f>
        <v>#REF!</v>
      </c>
    </row>
    <row r="103" spans="2:28" ht="20.100000000000001" customHeight="1">
      <c r="B103" s="71" t="s">
        <v>78</v>
      </c>
      <c r="C103" s="72" t="e">
        <f>SUM('Aprovet. Pedag. EB - FINAL 2025'!#REF!)</f>
        <v>#REF!</v>
      </c>
      <c r="D103" s="72" t="e">
        <f>SUM('Aprovet. Pedag. EB - FINAL 2025'!#REF!)</f>
        <v>#REF!</v>
      </c>
      <c r="E103" s="72" t="e">
        <f>SUM('Aprovet. Pedag. EB - FINAL 2025'!#REF!)</f>
        <v>#REF!</v>
      </c>
      <c r="F103" s="72" t="e">
        <f>SUM('Aprovet. Pedag. EB - FINAL 2025'!#REF!)</f>
        <v>#REF!</v>
      </c>
      <c r="G103" s="72" t="e">
        <f>SUM('Aprovet. Pedag. EB - FINAL 2025'!#REF!)</f>
        <v>#REF!</v>
      </c>
      <c r="H103" s="72" t="e">
        <f>SUM('Aprovet. Pedag. EB - FINAL 2025'!#REF!)</f>
        <v>#REF!</v>
      </c>
      <c r="I103" s="72" t="e">
        <f>SUM('Aprovet. Pedag. EB - FINAL 2025'!#REF!)</f>
        <v>#REF!</v>
      </c>
      <c r="J103" s="72" t="e">
        <f>SUM('Aprovet. Pedag. EB - FINAL 2025'!#REF!)</f>
        <v>#REF!</v>
      </c>
      <c r="K103" s="72" t="e">
        <f>SUM('Aprovet. Pedag. EB - FINAL 2025'!#REF!)</f>
        <v>#REF!</v>
      </c>
      <c r="L103" s="72" t="e">
        <f>SUM('Aprovet. Pedag. EB - FINAL 2025'!#REF!)</f>
        <v>#REF!</v>
      </c>
      <c r="M103" s="72" t="e">
        <f>SUM('Aprovet. Pedag. EB - FINAL 2025'!#REF!)</f>
        <v>#REF!</v>
      </c>
      <c r="N103" s="72" t="e">
        <f>SUM('Aprovet. Pedag. EB - FINAL 2025'!#REF!)</f>
        <v>#REF!</v>
      </c>
      <c r="O103" s="72" t="e">
        <f>SUM('Aprovet. Pedag. EB - FINAL 2025'!#REF!)</f>
        <v>#REF!</v>
      </c>
      <c r="P103" s="72" t="e">
        <f>SUM('Aprovet. Pedag. EB - FINAL 2025'!#REF!)</f>
        <v>#REF!</v>
      </c>
      <c r="Q103" s="72" t="e">
        <f>SUM('Aprovet. Pedag. EB - FINAL 2025'!#REF!)</f>
        <v>#REF!</v>
      </c>
      <c r="R103" s="72" t="e">
        <f>SUM('Aprovet. Pedag. EB - FINAL 2025'!#REF!)</f>
        <v>#REF!</v>
      </c>
      <c r="S103" s="72" t="e">
        <f>SUM('Aprovet. Pedag. EB - FINAL 2025'!#REF!)</f>
        <v>#REF!</v>
      </c>
      <c r="T103" s="72" t="e">
        <f>SUM('Aprovet. Pedag. EB - FINAL 2025'!#REF!)</f>
        <v>#REF!</v>
      </c>
      <c r="U103" s="72" t="e">
        <f>SUM('Aprovet. Pedag. EB - FINAL 2025'!#REF!)</f>
        <v>#REF!</v>
      </c>
      <c r="V103" s="72" t="e">
        <f>SUM('Aprovet. Pedag. EB - FINAL 2025'!#REF!)</f>
        <v>#REF!</v>
      </c>
      <c r="W103" s="72" t="e">
        <f>SUM('Aprovet. Pedag. EB - FINAL 2025'!#REF!)</f>
        <v>#REF!</v>
      </c>
      <c r="X103" s="72" t="e">
        <f>SUM('Aprovet. Pedag. EB - FINAL 2025'!#REF!)</f>
        <v>#REF!</v>
      </c>
      <c r="Y103" s="73" t="e">
        <f>SUM('Aprovet. Pedag. EB - FINAL 2025'!#REF!)</f>
        <v>#REF!</v>
      </c>
      <c r="Z103" s="73" t="e">
        <f>SUM('Aprovet. Pedag. EB - FINAL 2025'!#REF!)</f>
        <v>#REF!</v>
      </c>
      <c r="AA103" s="73" t="e">
        <f>SUM('Aprovet. Pedag. EB - FINAL 2025'!#REF!)</f>
        <v>#REF!</v>
      </c>
      <c r="AB103" s="73" t="e">
        <f>SUM('Aprovet. Pedag. EB - FINAL 2025'!#REF!)</f>
        <v>#REF!</v>
      </c>
    </row>
    <row r="104" spans="2:28" ht="20.100000000000001" customHeight="1">
      <c r="B104" s="77" t="s">
        <v>31</v>
      </c>
      <c r="C104" s="78" t="e">
        <f>SUM(C82:C103)</f>
        <v>#REF!</v>
      </c>
      <c r="D104" s="78" t="e">
        <f t="shared" ref="D104:X104" si="60">SUM(D82:D103)</f>
        <v>#REF!</v>
      </c>
      <c r="E104" s="78" t="e">
        <f t="shared" si="60"/>
        <v>#REF!</v>
      </c>
      <c r="F104" s="78" t="e">
        <f t="shared" si="60"/>
        <v>#REF!</v>
      </c>
      <c r="G104" s="78" t="e">
        <f t="shared" si="60"/>
        <v>#REF!</v>
      </c>
      <c r="H104" s="78" t="e">
        <f t="shared" si="60"/>
        <v>#REF!</v>
      </c>
      <c r="I104" s="78" t="e">
        <f t="shared" si="60"/>
        <v>#REF!</v>
      </c>
      <c r="J104" s="78" t="e">
        <f t="shared" si="60"/>
        <v>#REF!</v>
      </c>
      <c r="K104" s="78" t="e">
        <f t="shared" si="60"/>
        <v>#REF!</v>
      </c>
      <c r="L104" s="78" t="e">
        <f t="shared" si="60"/>
        <v>#REF!</v>
      </c>
      <c r="M104" s="78" t="e">
        <f t="shared" si="60"/>
        <v>#REF!</v>
      </c>
      <c r="N104" s="78" t="e">
        <f t="shared" si="60"/>
        <v>#REF!</v>
      </c>
      <c r="O104" s="78" t="e">
        <f t="shared" si="60"/>
        <v>#REF!</v>
      </c>
      <c r="P104" s="78" t="e">
        <f t="shared" si="60"/>
        <v>#REF!</v>
      </c>
      <c r="Q104" s="78" t="e">
        <f t="shared" si="60"/>
        <v>#REF!</v>
      </c>
      <c r="R104" s="78" t="e">
        <f t="shared" si="60"/>
        <v>#REF!</v>
      </c>
      <c r="S104" s="78" t="e">
        <f t="shared" si="60"/>
        <v>#REF!</v>
      </c>
      <c r="T104" s="78" t="e">
        <f t="shared" si="60"/>
        <v>#REF!</v>
      </c>
      <c r="U104" s="78" t="e">
        <f t="shared" si="60"/>
        <v>#REF!</v>
      </c>
      <c r="V104" s="78" t="e">
        <f t="shared" si="60"/>
        <v>#REF!</v>
      </c>
      <c r="W104" s="78" t="e">
        <f t="shared" si="60"/>
        <v>#REF!</v>
      </c>
      <c r="X104" s="78" t="e">
        <f t="shared" si="60"/>
        <v>#REF!</v>
      </c>
      <c r="Y104" s="79" t="e">
        <f>SUM(W104/U104*100)</f>
        <v>#REF!</v>
      </c>
      <c r="Z104" s="79" t="e">
        <f>SUM(X104/V104*100)</f>
        <v>#REF!</v>
      </c>
      <c r="AA104" s="79" t="e">
        <f>SUM(I104/C104*100)</f>
        <v>#REF!</v>
      </c>
      <c r="AB104" s="79" t="e">
        <f>SUM(J104/D104*100)</f>
        <v>#REF!</v>
      </c>
    </row>
  </sheetData>
  <mergeCells count="74">
    <mergeCell ref="B9:AB9"/>
    <mergeCell ref="B8:AB8"/>
    <mergeCell ref="B10:AB10"/>
    <mergeCell ref="AA38:AB38"/>
    <mergeCell ref="M38:N38"/>
    <mergeCell ref="B17:B18"/>
    <mergeCell ref="AA17:AB17"/>
    <mergeCell ref="G17:H17"/>
    <mergeCell ref="B15:AB15"/>
    <mergeCell ref="B24:AB24"/>
    <mergeCell ref="B12:AB13"/>
    <mergeCell ref="B19:AB19"/>
    <mergeCell ref="M17:N17"/>
    <mergeCell ref="U79:V79"/>
    <mergeCell ref="I17:J17"/>
    <mergeCell ref="U17:V17"/>
    <mergeCell ref="Q17:R17"/>
    <mergeCell ref="Y79:Z79"/>
    <mergeCell ref="K38:L38"/>
    <mergeCell ref="Y17:Z17"/>
    <mergeCell ref="B34:AB34"/>
    <mergeCell ref="C17:D17"/>
    <mergeCell ref="S17:T17"/>
    <mergeCell ref="C58:D58"/>
    <mergeCell ref="B60:AB60"/>
    <mergeCell ref="E58:F58"/>
    <mergeCell ref="G79:H79"/>
    <mergeCell ref="Y38:Z38"/>
    <mergeCell ref="AA79:AB79"/>
    <mergeCell ref="AA58:AB58"/>
    <mergeCell ref="Y58:Z58"/>
    <mergeCell ref="W79:X79"/>
    <mergeCell ref="B40:AB40"/>
    <mergeCell ref="Q79:R79"/>
    <mergeCell ref="S38:T38"/>
    <mergeCell ref="Q58:R58"/>
    <mergeCell ref="C38:D38"/>
    <mergeCell ref="Q38:R38"/>
    <mergeCell ref="G38:H38"/>
    <mergeCell ref="E38:F38"/>
    <mergeCell ref="I38:J38"/>
    <mergeCell ref="O58:P58"/>
    <mergeCell ref="C3:J4"/>
    <mergeCell ref="B38:B39"/>
    <mergeCell ref="O79:P79"/>
    <mergeCell ref="B45:AB45"/>
    <mergeCell ref="E17:F17"/>
    <mergeCell ref="W38:X38"/>
    <mergeCell ref="U38:V38"/>
    <mergeCell ref="O17:P17"/>
    <mergeCell ref="W17:X17"/>
    <mergeCell ref="K17:L17"/>
    <mergeCell ref="O38:P38"/>
    <mergeCell ref="I79:J79"/>
    <mergeCell ref="B58:B59"/>
    <mergeCell ref="B54:AB54"/>
    <mergeCell ref="B36:AB36"/>
    <mergeCell ref="E79:F79"/>
    <mergeCell ref="B81:AB81"/>
    <mergeCell ref="B56:AB56"/>
    <mergeCell ref="S58:T58"/>
    <mergeCell ref="W58:X58"/>
    <mergeCell ref="K58:L58"/>
    <mergeCell ref="B77:AB78"/>
    <mergeCell ref="B65:AB65"/>
    <mergeCell ref="B79:B80"/>
    <mergeCell ref="M79:N79"/>
    <mergeCell ref="G58:H58"/>
    <mergeCell ref="K79:L79"/>
    <mergeCell ref="I58:J58"/>
    <mergeCell ref="S79:T79"/>
    <mergeCell ref="C79:D79"/>
    <mergeCell ref="U58:V58"/>
    <mergeCell ref="M58:N58"/>
  </mergeCells>
  <pageMargins left="0.7" right="0.7" top="0.75" bottom="0.75" header="0.3" footer="0.3"/>
  <pageSetup paperSize="9" scale="28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CNECE08</dc:creator>
  <cp:keywords/>
  <dc:description/>
  <cp:lastModifiedBy/>
  <cp:revision/>
  <dcterms:created xsi:type="dcterms:W3CDTF">2021-12-16T06:51:18Z</dcterms:created>
  <dcterms:modified xsi:type="dcterms:W3CDTF">2026-09-08T05:11:17Z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8d648003e15747c592f97114e362eb88</vt:lpwstr>
  </property>
</Properties>
</file>